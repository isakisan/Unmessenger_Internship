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Unmessenger" sheetId="1" state="visible" r:id="rId3"/>
    <sheet name="Sheet2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<sst xmlns="http://schemas.openxmlformats.org/spreadsheetml/2006/main" count="274" uniqueCount="158">
  <si>
    <t xml:space="preserve">Id</t>
  </si>
  <si>
    <t xml:space="preserve">Name</t>
  </si>
  <si>
    <t xml:space="preserve">NAMES_Revised</t>
  </si>
  <si>
    <t xml:space="preserve">Age</t>
  </si>
  <si>
    <t xml:space="preserve">AGE_CALCULATED</t>
  </si>
  <si>
    <t xml:space="preserve">Gender</t>
  </si>
  <si>
    <t xml:space="preserve">Department</t>
  </si>
  <si>
    <t xml:space="preserve">Email</t>
  </si>
  <si>
    <t xml:space="preserve">Phone</t>
  </si>
  <si>
    <t xml:space="preserve">Formatted_Phone_Numbers</t>
  </si>
  <si>
    <t xml:space="preserve">Address</t>
  </si>
  <si>
    <t xml:space="preserve">Salary</t>
  </si>
  <si>
    <t xml:space="preserve">John Doe</t>
  </si>
  <si>
    <t xml:space="preserve">M</t>
  </si>
  <si>
    <t xml:space="preserve">Operations</t>
  </si>
  <si>
    <t xml:space="preserve">john.doe@gmail.com</t>
  </si>
  <si>
    <t xml:space="preserve">91-1234567890</t>
  </si>
  <si>
    <t xml:space="preserve">123 Main St, Bangalore, Karnataka, India</t>
  </si>
  <si>
    <t xml:space="preserve">Jane Smith</t>
  </si>
  <si>
    <t xml:space="preserve">F</t>
  </si>
  <si>
    <t xml:space="preserve">IT Department</t>
  </si>
  <si>
    <t xml:space="preserve">jane.smith@hotmail.com</t>
  </si>
  <si>
    <t xml:space="preserve">91-9876543210</t>
  </si>
  <si>
    <t xml:space="preserve">456 Park Ave, Mumbai, Maharashtra, India</t>
  </si>
  <si>
    <t xml:space="preserve">Amit Patel</t>
  </si>
  <si>
    <t xml:space="preserve">IT Development</t>
  </si>
  <si>
    <t xml:space="preserve">amit.patel@gmail.com</t>
  </si>
  <si>
    <t xml:space="preserve">91-8765432109</t>
  </si>
  <si>
    <t xml:space="preserve">789 3rd St, Kolkata, West Bengal, India</t>
  </si>
  <si>
    <t xml:space="preserve">Priya Sharma</t>
  </si>
  <si>
    <t xml:space="preserve">SALES</t>
  </si>
  <si>
    <t xml:space="preserve">priya.sharma@yahoo.com</t>
  </si>
  <si>
    <t xml:space="preserve">91-5555555555</t>
  </si>
  <si>
    <t xml:space="preserve">12 4th St, New Delhi, Delhi, India</t>
  </si>
  <si>
    <t xml:space="preserve">jane.doe@gmail.com</t>
  </si>
  <si>
    <t xml:space="preserve">Address Not Available</t>
  </si>
  <si>
    <t xml:space="preserve">Rakesh Kumar</t>
  </si>
  <si>
    <t xml:space="preserve">Data Science</t>
  </si>
  <si>
    <t xml:space="preserve">rakesh.kumar@yahoo.com</t>
  </si>
  <si>
    <t xml:space="preserve">345 5th St, Jaipur, Rajasthan, India</t>
  </si>
  <si>
    <t xml:space="preserve">Divya Singh</t>
  </si>
  <si>
    <t xml:space="preserve">support@unmessenger.com</t>
  </si>
  <si>
    <t xml:space="preserve">91-9999999999</t>
  </si>
  <si>
    <t xml:space="preserve">678 6th St, Chennai, Tamil Nadu, India</t>
  </si>
  <si>
    <t xml:space="preserve">Aman Verma</t>
  </si>
  <si>
    <t xml:space="preserve">aman.verma@gmail.com</t>
  </si>
  <si>
    <t xml:space="preserve">Neha Gupta</t>
  </si>
  <si>
    <t xml:space="preserve">SLES</t>
  </si>
  <si>
    <t xml:space="preserve">neha.gupta@hotmail.com</t>
  </si>
  <si>
    <t xml:space="preserve">901 7th St, Hyderabad, Telangana, India</t>
  </si>
  <si>
    <t xml:space="preserve">naveen.sharma@gmail.com</t>
  </si>
  <si>
    <t xml:space="preserve">234 8th St, Pune, Maharashtra, India</t>
  </si>
  <si>
    <t xml:space="preserve">Vinita Kapoor</t>
  </si>
  <si>
    <t xml:space="preserve">vinita.kapoor@yahoo.com</t>
  </si>
  <si>
    <t xml:space="preserve">567 9th St, Ahmedabad, Gujarat, India</t>
  </si>
  <si>
    <t xml:space="preserve">Rajeev Kumar</t>
  </si>
  <si>
    <t xml:space="preserve">rajeev.kumar@hotmail.com</t>
  </si>
  <si>
    <t xml:space="preserve">789 10th St, Bangalore, Karnataka, India</t>
  </si>
  <si>
    <t xml:space="preserve">Swati Singh</t>
  </si>
  <si>
    <t xml:space="preserve">HR</t>
  </si>
  <si>
    <t xml:space="preserve">swati.singh@gmail.com</t>
  </si>
  <si>
    <t xml:space="preserve">654 12th St, Kolkata, West Bengal, India</t>
  </si>
  <si>
    <t xml:space="preserve">Finance/Accounts</t>
  </si>
  <si>
    <t xml:space="preserve">kavita.sharma@yahoo.com</t>
  </si>
  <si>
    <t xml:space="preserve">Manish Patel</t>
  </si>
  <si>
    <t xml:space="preserve">Management</t>
  </si>
  <si>
    <t xml:space="preserve">manish.patel@hotmail.com</t>
  </si>
  <si>
    <t xml:space="preserve">987 13th St, New Delhi, Delhi, India</t>
  </si>
  <si>
    <t xml:space="preserve">Priyanka Jain</t>
  </si>
  <si>
    <t xml:space="preserve">priyanka.jain@yahoo.com</t>
  </si>
  <si>
    <t xml:space="preserve">Rohit Sharma</t>
  </si>
  <si>
    <t xml:space="preserve">rohit.sharma@gmail.com</t>
  </si>
  <si>
    <t xml:space="preserve">654 14th St, Jaipur, Rajasthan, India</t>
  </si>
  <si>
    <t xml:space="preserve">Deepika Singh</t>
  </si>
  <si>
    <t xml:space="preserve">deepika.singh@yahoo.com</t>
  </si>
  <si>
    <t xml:space="preserve">321 15th St, Chennai, Tamil Nadu, India</t>
  </si>
  <si>
    <t xml:space="preserve">vikas.joshi@gmail.com</t>
  </si>
  <si>
    <t xml:space="preserve">Nisha Verma</t>
  </si>
  <si>
    <t xml:space="preserve">nisha.verma@hotmail.com</t>
  </si>
  <si>
    <t xml:space="preserve">789 16th St, Hyderabad, Telangana, India</t>
  </si>
  <si>
    <t xml:space="preserve">Manoj Kumar</t>
  </si>
  <si>
    <t xml:space="preserve">manoj.kumar@yahoo.com</t>
  </si>
  <si>
    <t xml:space="preserve">901 17th St, Pune, Maharashtra, India</t>
  </si>
  <si>
    <t xml:space="preserve">Sanjay Gupta</t>
  </si>
  <si>
    <t xml:space="preserve">sanjay.gupta@gmail.com</t>
  </si>
  <si>
    <t xml:space="preserve">91-6666666666</t>
  </si>
  <si>
    <t xml:space="preserve">Anjali Sharma</t>
  </si>
  <si>
    <t xml:space="preserve">anjali.sharma@yahoo.com</t>
  </si>
  <si>
    <t xml:space="preserve">567 19th St, Bangalore, Karnataka, India</t>
  </si>
  <si>
    <t xml:space="preserve">Akash Patel</t>
  </si>
  <si>
    <t xml:space="preserve">akash.patel@hotmail.com</t>
  </si>
  <si>
    <t xml:space="preserve">789 20th St, Mumbai, Maharashtra, India</t>
  </si>
  <si>
    <t xml:space="preserve">Preeti Singh</t>
  </si>
  <si>
    <t xml:space="preserve">preeti.singh@gmail.com</t>
  </si>
  <si>
    <t xml:space="preserve">321 21st St, Kolkata, West Bengal, India</t>
  </si>
  <si>
    <t xml:space="preserve">Ravi Kumar</t>
  </si>
  <si>
    <t xml:space="preserve">ravi.kumar@gmail.com</t>
  </si>
  <si>
    <t xml:space="preserve">901 22nd St, Patna, Bihar, India</t>
  </si>
  <si>
    <t xml:space="preserve">Swati Mishra</t>
  </si>
  <si>
    <t xml:space="preserve">swati.mishra@yahoo.com</t>
  </si>
  <si>
    <t xml:space="preserve">234 23rd St, Bhopal, Madhya Pradesh, India</t>
  </si>
  <si>
    <t xml:space="preserve">ankit.singh@hotmail.com</t>
  </si>
  <si>
    <t xml:space="preserve">567 24th St, Lucknow, Uttar Pradesh, India</t>
  </si>
  <si>
    <t xml:space="preserve">neha.gupta@gmail.com</t>
  </si>
  <si>
    <t xml:space="preserve">Rajeev Sharma</t>
  </si>
  <si>
    <t xml:space="preserve">rajeev.sharma@yahoo.com</t>
  </si>
  <si>
    <t xml:space="preserve">789 25th St, Jaipur, Rajasthan, India</t>
  </si>
  <si>
    <t xml:space="preserve">sarika.patel@hotmail.com</t>
  </si>
  <si>
    <t xml:space="preserve">654 26th St, Chennai, Tamil Nadu, India</t>
  </si>
  <si>
    <t xml:space="preserve">Vinay Singh</t>
  </si>
  <si>
    <t xml:space="preserve">vinay.singh@gmail.com</t>
  </si>
  <si>
    <t xml:space="preserve">321 27th St, Hyderabad, Telangana, India</t>
  </si>
  <si>
    <t xml:space="preserve">Priya Gupta</t>
  </si>
  <si>
    <t xml:space="preserve">priya.gupta@yahoo.com</t>
  </si>
  <si>
    <t xml:space="preserve">901 28th St, Pune, Maharashtra, India</t>
  </si>
  <si>
    <t xml:space="preserve">Sushant Patel</t>
  </si>
  <si>
    <t xml:space="preserve">sushant.patel@hotmail.com</t>
  </si>
  <si>
    <t xml:space="preserve">567 29th St, Ahmedabad, Gujarat, India</t>
  </si>
  <si>
    <t xml:space="preserve">payal.sharma@gmail.com</t>
  </si>
  <si>
    <t xml:space="preserve">234 30th St, Bangalore, Karnataka, India</t>
  </si>
  <si>
    <t xml:space="preserve">Mohit Verma</t>
  </si>
  <si>
    <t xml:space="preserve">mohit.verma@yahoo.com</t>
  </si>
  <si>
    <t xml:space="preserve">789 31st St, Mumbai, Maharashtra, India</t>
  </si>
  <si>
    <t xml:space="preserve">Kavita Singh</t>
  </si>
  <si>
    <t xml:space="preserve">kavita.singh@hotmail.com</t>
  </si>
  <si>
    <t xml:space="preserve">901 32nd St, Kolkata, West Bengal, India</t>
  </si>
  <si>
    <t xml:space="preserve">Ankit Patel</t>
  </si>
  <si>
    <t xml:space="preserve">Operator</t>
  </si>
  <si>
    <t xml:space="preserve">ankit.patel@gmail.com</t>
  </si>
  <si>
    <t xml:space="preserve">321 33rd St, Patna, Bihar, India</t>
  </si>
  <si>
    <t xml:space="preserve">Pooja Mishra</t>
  </si>
  <si>
    <t xml:space="preserve">pooja.mishra@yahoo.com</t>
  </si>
  <si>
    <t xml:space="preserve">234 34th St, Bhopal, Madhya Pradesh, India</t>
  </si>
  <si>
    <t xml:space="preserve">Mohan Kumar</t>
  </si>
  <si>
    <t xml:space="preserve">mohan.kumar@gmail.com</t>
  </si>
  <si>
    <t xml:space="preserve">567 35th St, Lucknow, Uttar Pradesh, India</t>
  </si>
  <si>
    <t xml:space="preserve">Anjali Gupta</t>
  </si>
  <si>
    <t xml:space="preserve">anjali.gupta@hotmail.com</t>
  </si>
  <si>
    <t xml:space="preserve">654 36th St, Jaipur, Rajasthan, India</t>
  </si>
  <si>
    <t xml:space="preserve">mukesh.sharma@yahoo.com</t>
  </si>
  <si>
    <t xml:space="preserve">789 37th St, Chennai, Tamil Nadu, India</t>
  </si>
  <si>
    <t xml:space="preserve">Arjun Singh</t>
  </si>
  <si>
    <t xml:space="preserve">arjun.singh@gmail.com</t>
  </si>
  <si>
    <t xml:space="preserve">Divya Patel</t>
  </si>
  <si>
    <t xml:space="preserve">divya.patel@yahoo.com</t>
  </si>
  <si>
    <t xml:space="preserve">567 38th St, Hyderabad, Telangana, India</t>
  </si>
  <si>
    <t xml:space="preserve">gaurav.kumar@gmail.com</t>
  </si>
  <si>
    <t xml:space="preserve">234 39th St, Pune, Maharashtra, India</t>
  </si>
  <si>
    <t xml:space="preserve">Aditi Shah</t>
  </si>
  <si>
    <t xml:space="preserve">aditi.shah@hotmail.com</t>
  </si>
  <si>
    <t xml:space="preserve">901 40th St, Ahmedabad, Gujarat, India</t>
  </si>
  <si>
    <t xml:space="preserve">Sandeep Singh</t>
  </si>
  <si>
    <t xml:space="preserve">sandeep.singh@yahoo.com</t>
  </si>
  <si>
    <t xml:space="preserve">321 41st St, Bangalore, Karnataka, India</t>
  </si>
  <si>
    <t xml:space="preserve">Shalini Sharma</t>
  </si>
  <si>
    <t xml:space="preserve">shalini.sharma@gmail.com</t>
  </si>
  <si>
    <t xml:space="preserve">789 42nd St, Mumbai, Maharashtra, India</t>
  </si>
  <si>
    <t xml:space="preserve">NAMES1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</si>
</sst>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8">
    <font>
      <sz val="11"/>
      <color theme="1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Arial Narrow"/>
      <family val="0"/>
      <charset val="1"/>
    </font>
    <font>
      <sz val="11"/>
      <color rgb="FF000000"/>
      <name val="Calibri"/>
      <family val="0"/>
      <charset val="1"/>
    </font>
    <font>
      <sz val="54"/>
      <color theme="1"/>
      <name val="Times New Roman"/>
      <family val="1"/>
    </font>
    <font>
      <sz val="11"/>
      <color rgb="FF000000"/>
      <name val="Calibri"/>
      <family val="0"/>
      <charset val="1"/>
    </font>
  </fonts>
  <fills count="10">
    <fill>
      <patternFill patternType="none"/>
    </fill>
    <fill>
      <patternFill patternType="gray125"/>
    </fill>
    <fill>
      <patternFill patternType="solid">
        <fgColor rgb="FF3465A4"/>
        <bgColor rgb="FF355269"/>
      </patternFill>
    </fill>
    <fill>
      <patternFill patternType="solid">
        <fgColor rgb="FF5983B0"/>
        <bgColor rgb="FF808080"/>
      </patternFill>
    </fill>
    <fill>
      <patternFill patternType="solid">
        <fgColor rgb="FF355269"/>
        <bgColor rgb="FF3465A4"/>
      </patternFill>
    </fill>
    <fill>
      <patternFill patternType="solid">
        <fgColor rgb="FFFFFF00"/>
        <bgColor rgb="FFFFFF00"/>
      </patternFill>
    </fill>
    <fill>
      <patternFill patternType="solid">
        <fgColor rgb="FFFFAA95"/>
        <bgColor rgb="FFFFA6A6"/>
      </patternFill>
    </fill>
    <fill>
      <patternFill patternType="solid">
        <fgColor rgb="FFFFA6A6"/>
        <bgColor rgb="FFFFAA95"/>
      </patternFill>
    </fill>
    <fill>
      <patternFill patternType="solid">
        <fgColor rgb="FFFFF5CE"/>
        <bgColor rgb="FFFFFFFF"/>
      </patternFill>
    </fill>
    <fill>
      <patternFill patternType="solid">
        <fgColor rgb="FFFFD7D7"/>
        <bgColor rgb="FFFFF5CE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7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8">
    <dxf>
      <fill>
        <patternFill patternType="solid">
          <fgColor rgb="FFFFFF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AA95"/>
          <bgColor rgb="FF000000"/>
        </patternFill>
      </fill>
    </dxf>
    <dxf>
      <fill>
        <patternFill patternType="solid">
          <fgColor rgb="FFFFF5CE"/>
          <bgColor rgb="FF000000"/>
        </patternFill>
      </fill>
    </dxf>
    <dxf>
      <fill>
        <patternFill patternType="solid">
          <fgColor rgb="FFFFA6A6"/>
          <bgColor rgb="FF000000"/>
        </patternFill>
      </fill>
    </dxf>
    <dxf>
      <fill>
        <patternFill patternType="solid">
          <fgColor rgb="FFFFD7D7"/>
          <bgColor rgb="FF000000"/>
        </patternFill>
      </fill>
    </dxf>
    <dxf>
      <font>
        <name val="Calibri"/>
        <charset val="1"/>
        <family val="0"/>
        <b val="1"/>
        <color rgb="FF000000"/>
        <sz val="11"/>
      </font>
      <alignment horizontal="general" vertical="bottom" textRotation="0" wrapText="false" indent="0" shrinkToFit="false"/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5CE"/>
      <rgbColor rgb="FFCCFFFF"/>
      <rgbColor rgb="FF660066"/>
      <rgbColor rgb="FFFFAA95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A6A6"/>
      <rgbColor rgb="FFCC99FF"/>
      <rgbColor rgb="FFFFD7D7"/>
      <rgbColor rgb="FF3465A4"/>
      <rgbColor rgb="FF33CCCC"/>
      <rgbColor rgb="FF99CC00"/>
      <rgbColor rgb="FFFFCC00"/>
      <rgbColor rgb="FFFF9900"/>
      <rgbColor rgb="FFFF6600"/>
      <rgbColor rgb="FF5983B0"/>
      <rgbColor rgb="FF969696"/>
      <rgbColor rgb="FF003366"/>
      <rgbColor rgb="FF339966"/>
      <rgbColor rgb="FF003300"/>
      <rgbColor rgb="FF333300"/>
      <rgbColor rgb="FF993300"/>
      <rgbColor rgb="FF993366"/>
      <rgbColor rgb="FF35526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466560</xdr:colOff>
      <xdr:row>0</xdr:row>
      <xdr:rowOff>104760</xdr:rowOff>
    </xdr:from>
    <xdr:to>
      <xdr:col>11</xdr:col>
      <xdr:colOff>1050480</xdr:colOff>
      <xdr:row>4</xdr:row>
      <xdr:rowOff>161640</xdr:rowOff>
    </xdr:to>
    <xdr:sp>
      <xdr:nvSpPr>
        <xdr:cNvPr id="0" name="Shape 3"/>
        <xdr:cNvSpPr/>
      </xdr:nvSpPr>
      <xdr:spPr>
        <a:xfrm>
          <a:off x="5609520" y="104760"/>
          <a:ext cx="5114520" cy="780840"/>
        </a:xfrm>
        <a:prstGeom prst="rect">
          <a:avLst/>
        </a:prstGeom>
        <a:solidFill>
          <a:srgbClr val="4472c4"/>
        </a:solidFill>
        <a:ln w="12700">
          <a:solidFill>
            <a:srgbClr val="31538f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7</xdr:col>
      <xdr:colOff>360</xdr:colOff>
      <xdr:row>0</xdr:row>
      <xdr:rowOff>0</xdr:rowOff>
    </xdr:from>
    <xdr:to>
      <xdr:col>10</xdr:col>
      <xdr:colOff>1169640</xdr:colOff>
      <xdr:row>5</xdr:row>
      <xdr:rowOff>37440</xdr:rowOff>
    </xdr:to>
    <xdr:sp>
      <xdr:nvSpPr>
        <xdr:cNvPr id="1" name="Shape 4"/>
        <xdr:cNvSpPr/>
      </xdr:nvSpPr>
      <xdr:spPr>
        <a:xfrm>
          <a:off x="5143320" y="0"/>
          <a:ext cx="4057200" cy="94248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anchor="t">
          <a:noAutofit/>
        </a:bodyPr>
        <a:p>
          <a:pPr algn="ctr">
            <a:lnSpc>
              <a:spcPct val="100000"/>
            </a:lnSpc>
            <a:tabLst>
              <a:tab algn="l" pos="0"/>
            </a:tabLst>
          </a:pPr>
          <a:r>
            <a:rPr b="0" lang="en-US" sz="5400" spc="-1" strike="noStrike">
              <a:solidFill>
                <a:schemeClr val="dk1"/>
              </a:solidFill>
              <a:latin typeface="Times New Roman"/>
            </a:rPr>
            <a:t>Unmessenger</a:t>
          </a:r>
          <a:endParaRPr b="0" lang="en-IN" sz="5400" spc="-1" strike="noStrike">
            <a:latin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_1" displayName="Table_1" ref="E7:P55" headerRowCount="1" totalsRowCount="0" totalsRowShown="0">
  <tableColumns count="12">
    <tableColumn id="1" name="Id"/>
    <tableColumn id="2" name="Name"/>
    <tableColumn id="3" name="NAMES_Revised"/>
    <tableColumn id="4" name="Age"/>
    <tableColumn id="5" name="AGE_CALCULATED"/>
    <tableColumn id="6" name="Gender"/>
    <tableColumn id="7" name="Department"/>
    <tableColumn id="8" name="Email"/>
    <tableColumn id="9" name="Phone"/>
    <tableColumn id="10" name="Formatted_Phone_Numbers"/>
    <tableColumn id="11" name="Address"/>
    <tableColumn id="12" name="Salary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 pitchFamily="0" charset="1"/>
        <a:ea typeface="Calibri" pitchFamily="0" charset="1"/>
        <a:cs typeface="Calibri" pitchFamily="0" charset="1"/>
      </a:majorFont>
      <a:minorFont>
        <a:latin typeface="Calibri" pitchFamily="0" charset="1"/>
        <a:ea typeface="Calibri" pitchFamily="0" charset="1"/>
        <a:cs typeface="Calibri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support@unmessenger.com" TargetMode="External"/><Relationship Id="rId2" Type="http://schemas.openxmlformats.org/officeDocument/2006/relationships/drawing" Target="../drawings/drawing1.xml"/><Relationship Id="rId3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P1048576"/>
  <sheetViews>
    <sheetView showFormulas="false" showGridLines="true" showRowColHeaders="true" showZeros="true" rightToLeft="false" tabSelected="true" showOutlineSymbols="true" defaultGridColor="true" view="normal" topLeftCell="B1" colorId="64" zoomScale="75" zoomScaleNormal="75" zoomScalePageLayoutView="100" workbookViewId="0">
      <selection pane="topLeft" activeCell="M3" activeCellId="0" sqref="M3"/>
    </sheetView>
  </sheetViews>
  <sheetFormatPr defaultColWidth="14.43359375" defaultRowHeight="15" zeroHeight="false" outlineLevelRow="0" outlineLevelCol="0"/>
  <cols>
    <col collapsed="false" customWidth="true" hidden="false" outlineLevel="0" max="4" min="1" style="0" width="8.71"/>
    <col collapsed="false" customWidth="true" hidden="false" outlineLevel="0" max="5" min="5" style="0" width="8.88"/>
    <col collapsed="false" customWidth="true" hidden="false" outlineLevel="0" max="6" min="6" style="0" width="12.47"/>
    <col collapsed="false" customWidth="true" hidden="false" outlineLevel="0" max="7" min="7" style="0" width="16.77"/>
    <col collapsed="false" customWidth="true" hidden="false" outlineLevel="0" max="8" min="8" style="0" width="13.34"/>
    <col collapsed="false" customWidth="true" hidden="false" outlineLevel="0" max="9" min="9" style="0" width="16.48"/>
    <col collapsed="false" customWidth="true" hidden="false" outlineLevel="0" max="10" min="10" style="0" width="11.16"/>
    <col collapsed="false" customWidth="true" hidden="false" outlineLevel="0" max="11" min="11" style="0" width="23.31"/>
    <col collapsed="false" customWidth="true" hidden="false" outlineLevel="0" max="12" min="12" style="0" width="23.63"/>
    <col collapsed="false" customWidth="true" hidden="false" outlineLevel="0" max="13" min="13" style="0" width="20.92"/>
    <col collapsed="false" customWidth="true" hidden="false" outlineLevel="0" max="14" min="14" style="0" width="21.79"/>
    <col collapsed="false" customWidth="true" hidden="false" outlineLevel="0" max="15" min="15" style="0" width="36.76"/>
    <col collapsed="false" customWidth="true" hidden="false" outlineLevel="0" max="16" min="16" style="0" width="9"/>
    <col collapsed="false" customWidth="true" hidden="false" outlineLevel="0" max="29" min="17" style="0" width="8.71"/>
  </cols>
  <sheetData>
    <row r="1" customFormat="false" ht="14.25" hidden="false" customHeight="true" outlineLevel="0" collapsed="false"/>
    <row r="2" customFormat="false" ht="14.25" hidden="false" customHeight="true" outlineLevel="0" collapsed="false">
      <c r="H2" s="1"/>
    </row>
    <row r="3" customFormat="false" ht="14.25" hidden="false" customHeight="true" outlineLevel="0" collapsed="false">
      <c r="H3" s="1"/>
    </row>
    <row r="4" customFormat="false" ht="14.25" hidden="false" customHeight="true" outlineLevel="0" collapsed="false">
      <c r="H4" s="2"/>
    </row>
    <row r="5" customFormat="false" ht="14.25" hidden="false" customHeight="true" outlineLevel="0" collapsed="false">
      <c r="H5" s="3"/>
    </row>
    <row r="6" customFormat="false" ht="14.25" hidden="false" customHeight="true" outlineLevel="0" collapsed="false"/>
    <row r="7" customFormat="false" ht="14.25" hidden="false" customHeight="true" outlineLevel="0" collapsed="false">
      <c r="E7" s="4" t="s">
        <v>0</v>
      </c>
      <c r="F7" s="4" t="s">
        <v>1</v>
      </c>
      <c r="G7" s="5" t="s">
        <v>2</v>
      </c>
      <c r="H7" s="4" t="s">
        <v>3</v>
      </c>
      <c r="I7" s="6" t="s">
        <v>4</v>
      </c>
      <c r="J7" s="4" t="s">
        <v>5</v>
      </c>
      <c r="K7" s="4" t="s">
        <v>6</v>
      </c>
      <c r="L7" s="4" t="s">
        <v>7</v>
      </c>
      <c r="M7" s="4" t="s">
        <v>8</v>
      </c>
      <c r="N7" s="6" t="s">
        <v>9</v>
      </c>
      <c r="O7" s="4" t="s">
        <v>10</v>
      </c>
      <c r="P7" s="4" t="s">
        <v>11</v>
      </c>
    </row>
    <row r="8" customFormat="false" ht="14.25" hidden="false" customHeight="true" outlineLevel="0" collapsed="false">
      <c r="E8" s="7" t="n">
        <v>1</v>
      </c>
      <c r="F8" s="7" t="s">
        <v>12</v>
      </c>
      <c r="G8" s="8" t="str">
        <f aca="false">IF(F8="",LEFT(L8, FIND("@", L8) - 1), F8)</f>
        <v>John Doe</v>
      </c>
      <c r="H8" s="7" t="n">
        <v>32</v>
      </c>
      <c r="I8" s="9" t="n">
        <f aca="false">IF(ISBLANK(H8),$B$9,H8)</f>
        <v>32</v>
      </c>
      <c r="J8" s="7" t="s">
        <v>13</v>
      </c>
      <c r="K8" s="7" t="s">
        <v>14</v>
      </c>
      <c r="L8" s="7" t="s">
        <v>15</v>
      </c>
      <c r="M8" s="7" t="s">
        <v>16</v>
      </c>
      <c r="N8" s="9" t="str">
        <f aca="false">="91-" &amp; MID(SUBSTITUTE(SUBSTITUTE(M8, " ", ""), "-", ""), 3, LEN(M8)-2) &amp; ""</f>
        <v>91-1234567890</v>
      </c>
      <c r="O8" s="7" t="s">
        <v>17</v>
      </c>
      <c r="P8" s="10" t="n">
        <v>4600</v>
      </c>
    </row>
    <row r="9" customFormat="false" ht="14.25" hidden="false" customHeight="true" outlineLevel="0" collapsed="false">
      <c r="B9" s="0" t="n">
        <f aca="false">_xlfn.FLOOR.MATH(AVERAGE(H8:H55),1)</f>
        <v>29</v>
      </c>
      <c r="E9" s="7" t="n">
        <v>2</v>
      </c>
      <c r="F9" s="7" t="s">
        <v>18</v>
      </c>
      <c r="G9" s="8" t="str">
        <f aca="false">IF(F9="",LEFT(L9, FIND("@", L9) - 1), F9)</f>
        <v>Jane Smith</v>
      </c>
      <c r="H9" s="7" t="n">
        <v>28</v>
      </c>
      <c r="I9" s="9" t="n">
        <f aca="false">IF(ISBLANK(H9),$B$9,H9)</f>
        <v>28</v>
      </c>
      <c r="J9" s="7" t="s">
        <v>19</v>
      </c>
      <c r="K9" s="7" t="s">
        <v>20</v>
      </c>
      <c r="L9" s="7" t="s">
        <v>21</v>
      </c>
      <c r="M9" s="7" t="s">
        <v>22</v>
      </c>
      <c r="N9" s="9" t="str">
        <f aca="false">="91-" &amp; MID(SUBSTITUTE(SUBSTITUTE(M9, " ", ""), "-", ""), 3, LEN(M9)-2) &amp; ""</f>
        <v>91-9876543210</v>
      </c>
      <c r="O9" s="7" t="s">
        <v>23</v>
      </c>
      <c r="P9" s="10" t="n">
        <v>4599</v>
      </c>
    </row>
    <row r="10" customFormat="false" ht="14.25" hidden="false" customHeight="true" outlineLevel="0" collapsed="false">
      <c r="E10" s="7" t="n">
        <v>3</v>
      </c>
      <c r="F10" s="7" t="s">
        <v>24</v>
      </c>
      <c r="G10" s="8" t="str">
        <f aca="false">IF(F10="",LEFT(L10, FIND("@", L10) - 1), F10)</f>
        <v>Amit Patel</v>
      </c>
      <c r="H10" s="7" t="n">
        <v>27</v>
      </c>
      <c r="I10" s="9" t="n">
        <f aca="false">IF(ISBLANK(H10),$B$9,H10)</f>
        <v>27</v>
      </c>
      <c r="J10" s="7" t="s">
        <v>13</v>
      </c>
      <c r="K10" s="7" t="s">
        <v>25</v>
      </c>
      <c r="L10" s="7" t="s">
        <v>26</v>
      </c>
      <c r="M10" s="7" t="s">
        <v>27</v>
      </c>
      <c r="N10" s="9" t="str">
        <f aca="false">="91-" &amp; MID(SUBSTITUTE(SUBSTITUTE(M10, " ", ""), "-", ""), 3, LEN(M10)-2) &amp; ""</f>
        <v>91-8765432109</v>
      </c>
      <c r="O10" s="7" t="s">
        <v>28</v>
      </c>
      <c r="P10" s="10" t="n">
        <v>4598</v>
      </c>
    </row>
    <row r="11" customFormat="false" ht="14.25" hidden="false" customHeight="true" outlineLevel="0" collapsed="false">
      <c r="E11" s="7" t="n">
        <v>4</v>
      </c>
      <c r="F11" s="7" t="s">
        <v>29</v>
      </c>
      <c r="G11" s="8" t="str">
        <f aca="false">IF(F11="",LEFT(L11, FIND("@", L11) - 1), F11)</f>
        <v>Priya Sharma</v>
      </c>
      <c r="H11" s="7" t="n">
        <v>33</v>
      </c>
      <c r="I11" s="9" t="n">
        <f aca="false">IF(ISBLANK(H11),$B$9,H11)</f>
        <v>33</v>
      </c>
      <c r="J11" s="7" t="s">
        <v>19</v>
      </c>
      <c r="K11" s="7" t="s">
        <v>30</v>
      </c>
      <c r="L11" s="7" t="s">
        <v>31</v>
      </c>
      <c r="M11" s="7" t="s">
        <v>32</v>
      </c>
      <c r="N11" s="9" t="str">
        <f aca="false">="91-" &amp; MID(SUBSTITUTE(SUBSTITUTE(M11, " ", ""), "-", ""), 3, LEN(M11)-2) &amp; ""</f>
        <v>91-5555555555</v>
      </c>
      <c r="O11" s="7" t="s">
        <v>33</v>
      </c>
      <c r="P11" s="10" t="n">
        <v>4597</v>
      </c>
    </row>
    <row r="12" customFormat="false" ht="14.25" hidden="false" customHeight="true" outlineLevel="0" collapsed="false">
      <c r="E12" s="7" t="n">
        <v>5</v>
      </c>
      <c r="F12" s="7"/>
      <c r="G12" s="8" t="str">
        <f aca="false">IF(F12="",LEFT(L12, FIND("@", L12) - 1), F12)</f>
        <v>jane.doe</v>
      </c>
      <c r="H12" s="7" t="n">
        <v>29</v>
      </c>
      <c r="I12" s="9" t="n">
        <f aca="false">IF(ISBLANK(H12),$B$9,H12)</f>
        <v>29</v>
      </c>
      <c r="J12" s="7" t="s">
        <v>19</v>
      </c>
      <c r="K12" s="7" t="s">
        <v>30</v>
      </c>
      <c r="L12" s="7" t="s">
        <v>34</v>
      </c>
      <c r="M12" s="7"/>
      <c r="N12" s="9" t="e">
        <f aca="false">="91-" &amp; MID(SUBSTITUTE(SUBSTITUTE(M12, " ", ""), "-", ""), 3, LEN(M12)-2) &amp; ""</f>
        <v>#VALUE!</v>
      </c>
      <c r="O12" s="7" t="s">
        <v>35</v>
      </c>
      <c r="P12" s="10" t="n">
        <v>4596</v>
      </c>
    </row>
    <row r="13" customFormat="false" ht="14.25" hidden="false" customHeight="true" outlineLevel="0" collapsed="false">
      <c r="E13" s="7" t="n">
        <v>6</v>
      </c>
      <c r="F13" s="7" t="s">
        <v>36</v>
      </c>
      <c r="G13" s="8" t="str">
        <f aca="false">IF(F13="",LEFT(L13, FIND("@", L13) - 1), F13)</f>
        <v>Rakesh Kumar</v>
      </c>
      <c r="H13" s="7" t="n">
        <v>34</v>
      </c>
      <c r="I13" s="9" t="n">
        <f aca="false">IF(ISBLANK(H13),$B$9,H13)</f>
        <v>34</v>
      </c>
      <c r="J13" s="7" t="s">
        <v>13</v>
      </c>
      <c r="K13" s="7" t="s">
        <v>37</v>
      </c>
      <c r="L13" s="7" t="s">
        <v>38</v>
      </c>
      <c r="M13" s="7"/>
      <c r="N13" s="9" t="e">
        <f aca="false">="91-" &amp; MID(SUBSTITUTE(SUBSTITUTE(M13, " ", ""), "-", ""), 3, LEN(M13)-2) &amp; ""</f>
        <v>#VALUE!</v>
      </c>
      <c r="O13" s="7" t="s">
        <v>39</v>
      </c>
      <c r="P13" s="10" t="n">
        <v>4595</v>
      </c>
    </row>
    <row r="14" customFormat="false" ht="14.25" hidden="false" customHeight="true" outlineLevel="0" collapsed="false">
      <c r="E14" s="7" t="n">
        <v>7</v>
      </c>
      <c r="F14" s="7" t="s">
        <v>40</v>
      </c>
      <c r="G14" s="8" t="str">
        <f aca="false">IF(F14="",LEFT(L14, FIND("@", L14) - 1), F14)</f>
        <v>Divya Singh</v>
      </c>
      <c r="H14" s="7" t="n">
        <v>25</v>
      </c>
      <c r="I14" s="9" t="n">
        <f aca="false">IF(ISBLANK(H14),$B$9,H14)</f>
        <v>25</v>
      </c>
      <c r="J14" s="7" t="s">
        <v>19</v>
      </c>
      <c r="K14" s="7" t="s">
        <v>25</v>
      </c>
      <c r="L14" s="11" t="s">
        <v>41</v>
      </c>
      <c r="M14" s="7" t="s">
        <v>42</v>
      </c>
      <c r="N14" s="9" t="str">
        <f aca="false">="91-" &amp; MID(SUBSTITUTE(SUBSTITUTE(M14, " ", ""), "-", ""), 3, LEN(M14)-2) &amp; ""</f>
        <v>91-9999999999</v>
      </c>
      <c r="O14" s="7" t="s">
        <v>43</v>
      </c>
      <c r="P14" s="10" t="n">
        <v>4594</v>
      </c>
    </row>
    <row r="15" customFormat="false" ht="14.25" hidden="false" customHeight="true" outlineLevel="0" collapsed="false">
      <c r="E15" s="7" t="n">
        <v>8</v>
      </c>
      <c r="F15" s="7" t="s">
        <v>44</v>
      </c>
      <c r="G15" s="8" t="str">
        <f aca="false">IF(F15="",LEFT(L15, FIND("@", L15) - 1), F15)</f>
        <v>Aman Verma</v>
      </c>
      <c r="H15" s="7" t="n">
        <v>31</v>
      </c>
      <c r="I15" s="9" t="n">
        <f aca="false">IF(ISBLANK(H15),$B$9,H15)</f>
        <v>31</v>
      </c>
      <c r="J15" s="7" t="s">
        <v>13</v>
      </c>
      <c r="K15" s="7" t="s">
        <v>30</v>
      </c>
      <c r="L15" s="7" t="s">
        <v>45</v>
      </c>
      <c r="M15" s="7" t="n">
        <f aca="false">91-8888888888</f>
        <v>-8888888797</v>
      </c>
      <c r="N15" s="9" t="str">
        <f aca="false">="91-" &amp; MID(SUBSTITUTE(SUBSTITUTE(M15, " ", ""), "-", ""), 3, LEN(M15)-2) &amp; ""</f>
        <v>91-88888797</v>
      </c>
      <c r="O15" s="7" t="s">
        <v>35</v>
      </c>
      <c r="P15" s="10" t="n">
        <v>4593</v>
      </c>
    </row>
    <row r="16" customFormat="false" ht="14.25" hidden="false" customHeight="true" outlineLevel="0" collapsed="false">
      <c r="E16" s="7" t="n">
        <v>9</v>
      </c>
      <c r="F16" s="7" t="s">
        <v>46</v>
      </c>
      <c r="G16" s="8" t="str">
        <f aca="false">IF(F16="",LEFT(L16, FIND("@", L16) - 1), F16)</f>
        <v>Neha Gupta</v>
      </c>
      <c r="H16" s="7" t="n">
        <v>27</v>
      </c>
      <c r="I16" s="9" t="n">
        <f aca="false">IF(ISBLANK(H16),$B$9,H16)</f>
        <v>27</v>
      </c>
      <c r="J16" s="7" t="s">
        <v>19</v>
      </c>
      <c r="K16" s="7" t="s">
        <v>47</v>
      </c>
      <c r="L16" s="7" t="s">
        <v>48</v>
      </c>
      <c r="M16" s="7" t="n">
        <f aca="false">91-7777777777</f>
        <v>-7777777686</v>
      </c>
      <c r="N16" s="9" t="str">
        <f aca="false">="91-" &amp; MID(SUBSTITUTE(SUBSTITUTE(M16, " ", ""), "-", ""), 3, LEN(M16)-2) &amp; ""</f>
        <v>91-77777686</v>
      </c>
      <c r="O16" s="7" t="s">
        <v>49</v>
      </c>
      <c r="P16" s="10" t="n">
        <v>4592</v>
      </c>
    </row>
    <row r="17" customFormat="false" ht="14.25" hidden="false" customHeight="true" outlineLevel="0" collapsed="false">
      <c r="E17" s="7" t="n">
        <v>10</v>
      </c>
      <c r="F17" s="7"/>
      <c r="G17" s="8" t="str">
        <f aca="false">IF(F17="",LEFT(L17, FIND("@", L17) - 1), F17)</f>
        <v>naveen.sharma</v>
      </c>
      <c r="H17" s="7" t="n">
        <v>35</v>
      </c>
      <c r="I17" s="9" t="n">
        <f aca="false">IF(ISBLANK(H17),$B$9,H17)</f>
        <v>35</v>
      </c>
      <c r="J17" s="7" t="s">
        <v>13</v>
      </c>
      <c r="K17" s="7" t="s">
        <v>14</v>
      </c>
      <c r="L17" s="7" t="s">
        <v>50</v>
      </c>
      <c r="M17" s="7"/>
      <c r="N17" s="9" t="e">
        <f aca="false">="91-" &amp; MID(SUBSTITUTE(SUBSTITUTE(M17, " ", ""), "-", ""), 3, LEN(M17)-2) &amp; ""</f>
        <v>#VALUE!</v>
      </c>
      <c r="O17" s="7" t="s">
        <v>51</v>
      </c>
      <c r="P17" s="10" t="n">
        <v>4591</v>
      </c>
    </row>
    <row r="18" customFormat="false" ht="14.25" hidden="false" customHeight="true" outlineLevel="0" collapsed="false">
      <c r="E18" s="7" t="n">
        <v>11</v>
      </c>
      <c r="F18" s="7" t="s">
        <v>52</v>
      </c>
      <c r="G18" s="8" t="str">
        <f aca="false">IF(F18="",LEFT(L18, FIND("@", L18) - 1), F18)</f>
        <v>Vinita Kapoor</v>
      </c>
      <c r="H18" s="7"/>
      <c r="I18" s="9" t="n">
        <f aca="false">IF(ISBLANK(H18),$B$9,H18)</f>
        <v>29</v>
      </c>
      <c r="J18" s="7" t="s">
        <v>19</v>
      </c>
      <c r="K18" s="7" t="s">
        <v>20</v>
      </c>
      <c r="L18" s="7" t="s">
        <v>53</v>
      </c>
      <c r="M18" s="7" t="n">
        <f aca="false">91-6666666666</f>
        <v>-6666666575</v>
      </c>
      <c r="N18" s="9" t="str">
        <f aca="false">="91-" &amp; MID(SUBSTITUTE(SUBSTITUTE(M18, " ", ""), "-", ""), 3, LEN(M18)-2) &amp; ""</f>
        <v>91-66666575</v>
      </c>
      <c r="O18" s="7" t="s">
        <v>54</v>
      </c>
      <c r="P18" s="10" t="n">
        <v>4590</v>
      </c>
    </row>
    <row r="19" customFormat="false" ht="14.25" hidden="false" customHeight="true" outlineLevel="0" collapsed="false">
      <c r="E19" s="7" t="n">
        <v>12</v>
      </c>
      <c r="F19" s="7" t="s">
        <v>55</v>
      </c>
      <c r="G19" s="8" t="str">
        <f aca="false">IF(F19="",LEFT(L19, FIND("@", L19) - 1), F19)</f>
        <v>Rajeev Kumar</v>
      </c>
      <c r="H19" s="7" t="n">
        <v>29</v>
      </c>
      <c r="I19" s="9" t="n">
        <f aca="false">IF(ISBLANK(H19),$B$9,H19)</f>
        <v>29</v>
      </c>
      <c r="J19" s="7" t="s">
        <v>13</v>
      </c>
      <c r="K19" s="7" t="s">
        <v>20</v>
      </c>
      <c r="L19" s="7" t="s">
        <v>56</v>
      </c>
      <c r="M19" s="7" t="n">
        <f aca="false">91-5555555555</f>
        <v>-5555555464</v>
      </c>
      <c r="N19" s="9" t="str">
        <f aca="false">="91-" &amp; MID(SUBSTITUTE(SUBSTITUTE(M19, " ", ""), "-", ""), 3, LEN(M19)-2) &amp; ""</f>
        <v>91-55555464</v>
      </c>
      <c r="O19" s="7" t="s">
        <v>57</v>
      </c>
      <c r="P19" s="7" t="n">
        <v>4589</v>
      </c>
    </row>
    <row r="20" customFormat="false" ht="14.25" hidden="false" customHeight="true" outlineLevel="0" collapsed="false">
      <c r="E20" s="7" t="n">
        <v>14</v>
      </c>
      <c r="F20" s="7" t="s">
        <v>58</v>
      </c>
      <c r="G20" s="8" t="str">
        <f aca="false">IF(F20="",LEFT(L20, FIND("@", L20) - 1), F20)</f>
        <v>Swati Singh</v>
      </c>
      <c r="H20" s="7" t="n">
        <v>28</v>
      </c>
      <c r="I20" s="9" t="n">
        <f aca="false">IF(ISBLANK(H20),$B$9,H20)</f>
        <v>28</v>
      </c>
      <c r="J20" s="7" t="s">
        <v>19</v>
      </c>
      <c r="K20" s="7" t="s">
        <v>59</v>
      </c>
      <c r="L20" s="7" t="s">
        <v>60</v>
      </c>
      <c r="M20" s="7"/>
      <c r="N20" s="9" t="e">
        <f aca="false">="91-" &amp; MID(SUBSTITUTE(SUBSTITUTE(M20, " ", ""), "-", ""), 3, LEN(M20)-2) &amp; ""</f>
        <v>#VALUE!</v>
      </c>
      <c r="O20" s="7" t="s">
        <v>61</v>
      </c>
      <c r="P20" s="7" t="n">
        <v>4588</v>
      </c>
    </row>
    <row r="21" customFormat="false" ht="14.25" hidden="false" customHeight="true" outlineLevel="0" collapsed="false">
      <c r="E21" s="7" t="n">
        <v>15</v>
      </c>
      <c r="F21" s="7"/>
      <c r="G21" s="8" t="str">
        <f aca="false">IF(F21="",LEFT(L21, FIND("@", L21) - 1), F21)</f>
        <v>kavita.sharma</v>
      </c>
      <c r="H21" s="7" t="n">
        <v>30</v>
      </c>
      <c r="I21" s="9" t="n">
        <f aca="false">IF(ISBLANK(H21),$B$9,H21)</f>
        <v>30</v>
      </c>
      <c r="J21" s="7" t="s">
        <v>19</v>
      </c>
      <c r="K21" s="7" t="s">
        <v>62</v>
      </c>
      <c r="L21" s="7" t="s">
        <v>63</v>
      </c>
      <c r="M21" s="7" t="n">
        <f aca="false">91-8888888888</f>
        <v>-8888888797</v>
      </c>
      <c r="N21" s="9" t="str">
        <f aca="false">="91-" &amp; MID(SUBSTITUTE(SUBSTITUTE(M21, " ", ""), "-", ""), 3, LEN(M21)-2) &amp; ""</f>
        <v>91-88888797</v>
      </c>
      <c r="O21" s="7" t="s">
        <v>35</v>
      </c>
      <c r="P21" s="7" t="n">
        <v>4587</v>
      </c>
    </row>
    <row r="22" customFormat="false" ht="14.25" hidden="false" customHeight="true" outlineLevel="0" collapsed="false">
      <c r="E22" s="7" t="n">
        <v>16</v>
      </c>
      <c r="F22" s="7" t="s">
        <v>64</v>
      </c>
      <c r="G22" s="8" t="str">
        <f aca="false">IF(F22="",LEFT(L22, FIND("@", L22) - 1), F22)</f>
        <v>Manish Patel</v>
      </c>
      <c r="H22" s="7" t="n">
        <v>32</v>
      </c>
      <c r="I22" s="9" t="n">
        <f aca="false">IF(ISBLANK(H22),$B$9,H22)</f>
        <v>32</v>
      </c>
      <c r="J22" s="7" t="s">
        <v>13</v>
      </c>
      <c r="K22" s="7" t="s">
        <v>65</v>
      </c>
      <c r="L22" s="7" t="s">
        <v>66</v>
      </c>
      <c r="M22" s="7" t="n">
        <f aca="false">91-1234567890</f>
        <v>-1234567799</v>
      </c>
      <c r="N22" s="9" t="str">
        <f aca="false">="91-" &amp; MID(SUBSTITUTE(SUBSTITUTE(M22, " ", ""), "-", ""), 3, LEN(M22)-2) &amp; ""</f>
        <v>91-34567799</v>
      </c>
      <c r="O22" s="7" t="s">
        <v>67</v>
      </c>
      <c r="P22" s="7" t="n">
        <v>4586</v>
      </c>
    </row>
    <row r="23" customFormat="false" ht="14.25" hidden="false" customHeight="true" outlineLevel="0" collapsed="false">
      <c r="E23" s="7" t="n">
        <v>17</v>
      </c>
      <c r="F23" s="7" t="s">
        <v>68</v>
      </c>
      <c r="G23" s="8" t="str">
        <f aca="false">IF(F23="",LEFT(L23, FIND("@", L23) - 1), F23)</f>
        <v>Priyanka Jain</v>
      </c>
      <c r="H23" s="7" t="n">
        <v>26</v>
      </c>
      <c r="I23" s="9" t="n">
        <f aca="false">IF(ISBLANK(H23),$B$9,H23)</f>
        <v>26</v>
      </c>
      <c r="J23" s="7" t="s">
        <v>19</v>
      </c>
      <c r="K23" s="7" t="s">
        <v>37</v>
      </c>
      <c r="L23" s="7" t="s">
        <v>69</v>
      </c>
      <c r="M23" s="7" t="n">
        <f aca="false">91-8765432109</f>
        <v>-8765432018</v>
      </c>
      <c r="N23" s="9" t="str">
        <f aca="false">="91-" &amp; MID(SUBSTITUTE(SUBSTITUTE(M23, " ", ""), "-", ""), 3, LEN(M23)-2) &amp; ""</f>
        <v>91-65432018</v>
      </c>
      <c r="O23" s="7" t="s">
        <v>35</v>
      </c>
      <c r="P23" s="7" t="n">
        <v>4585</v>
      </c>
    </row>
    <row r="24" customFormat="false" ht="14.25" hidden="false" customHeight="true" outlineLevel="0" collapsed="false">
      <c r="E24" s="7" t="n">
        <v>18</v>
      </c>
      <c r="F24" s="7" t="s">
        <v>70</v>
      </c>
      <c r="G24" s="8" t="str">
        <f aca="false">IF(F24="",LEFT(L24, FIND("@", L24) - 1), F24)</f>
        <v>Rohit Sharma</v>
      </c>
      <c r="H24" s="7" t="n">
        <v>28</v>
      </c>
      <c r="I24" s="9" t="n">
        <f aca="false">IF(ISBLANK(H24),$B$9,H24)</f>
        <v>28</v>
      </c>
      <c r="J24" s="7" t="s">
        <v>13</v>
      </c>
      <c r="K24" s="7" t="s">
        <v>37</v>
      </c>
      <c r="L24" s="7" t="s">
        <v>71</v>
      </c>
      <c r="M24" s="7" t="n">
        <f aca="false">91-9876543210</f>
        <v>-9876543119</v>
      </c>
      <c r="N24" s="9" t="str">
        <f aca="false">="91-" &amp; MID(SUBSTITUTE(SUBSTITUTE(M24, " ", ""), "-", ""), 3, LEN(M24)-2) &amp; ""</f>
        <v>91-76543119</v>
      </c>
      <c r="O24" s="7" t="s">
        <v>72</v>
      </c>
      <c r="P24" s="7" t="n">
        <v>4584</v>
      </c>
    </row>
    <row r="25" customFormat="false" ht="14.25" hidden="false" customHeight="true" outlineLevel="0" collapsed="false">
      <c r="E25" s="7" t="n">
        <v>19</v>
      </c>
      <c r="F25" s="7" t="s">
        <v>73</v>
      </c>
      <c r="G25" s="8" t="str">
        <f aca="false">IF(F25="",LEFT(L25, FIND("@", L25) - 1), F25)</f>
        <v>Deepika Singh</v>
      </c>
      <c r="H25" s="7" t="n">
        <v>30</v>
      </c>
      <c r="I25" s="9" t="n">
        <f aca="false">IF(ISBLANK(H25),$B$9,H25)</f>
        <v>30</v>
      </c>
      <c r="J25" s="7" t="s">
        <v>19</v>
      </c>
      <c r="K25" s="7" t="s">
        <v>37</v>
      </c>
      <c r="L25" s="7" t="s">
        <v>74</v>
      </c>
      <c r="M25" s="7" t="n">
        <f aca="false">91-5555555555</f>
        <v>-5555555464</v>
      </c>
      <c r="N25" s="9" t="str">
        <f aca="false">="91-" &amp; MID(SUBSTITUTE(SUBSTITUTE(M25, " ", ""), "-", ""), 3, LEN(M25)-2) &amp; ""</f>
        <v>91-55555464</v>
      </c>
      <c r="O25" s="7" t="s">
        <v>75</v>
      </c>
      <c r="P25" s="7" t="n">
        <v>4583</v>
      </c>
    </row>
    <row r="26" customFormat="false" ht="14.25" hidden="false" customHeight="true" outlineLevel="0" collapsed="false">
      <c r="E26" s="7" t="n">
        <v>20</v>
      </c>
      <c r="F26" s="7"/>
      <c r="G26" s="8" t="str">
        <f aca="false">IF(F26="",LEFT(L26, FIND("@", L26) - 1), F26)</f>
        <v>vikas.joshi</v>
      </c>
      <c r="H26" s="7" t="n">
        <v>32</v>
      </c>
      <c r="I26" s="9" t="n">
        <f aca="false">IF(ISBLANK(H26),$B$9,H26)</f>
        <v>32</v>
      </c>
      <c r="J26" s="7" t="s">
        <v>13</v>
      </c>
      <c r="K26" s="7" t="s">
        <v>62</v>
      </c>
      <c r="L26" s="7" t="s">
        <v>76</v>
      </c>
      <c r="M26" s="7" t="n">
        <f aca="false">91-9999999999</f>
        <v>-9999999908</v>
      </c>
      <c r="N26" s="9" t="str">
        <f aca="false">="91-" &amp; MID(SUBSTITUTE(SUBSTITUTE(M26, " ", ""), "-", ""), 3, LEN(M26)-2) &amp; ""</f>
        <v>91-99999908</v>
      </c>
      <c r="O26" s="7" t="s">
        <v>35</v>
      </c>
      <c r="P26" s="7" t="n">
        <v>4582</v>
      </c>
    </row>
    <row r="27" customFormat="false" ht="14.25" hidden="false" customHeight="true" outlineLevel="0" collapsed="false">
      <c r="E27" s="7" t="n">
        <v>21</v>
      </c>
      <c r="F27" s="7" t="s">
        <v>77</v>
      </c>
      <c r="G27" s="8" t="str">
        <f aca="false">IF(F27="",LEFT(L27, FIND("@", L27) - 1), F27)</f>
        <v>Nisha Verma</v>
      </c>
      <c r="H27" s="7" t="n">
        <v>26</v>
      </c>
      <c r="I27" s="9" t="n">
        <f aca="false">IF(ISBLANK(H27),$B$9,H27)</f>
        <v>26</v>
      </c>
      <c r="J27" s="7" t="s">
        <v>19</v>
      </c>
      <c r="K27" s="7" t="s">
        <v>65</v>
      </c>
      <c r="L27" s="7" t="s">
        <v>78</v>
      </c>
      <c r="M27" s="7"/>
      <c r="N27" s="9" t="e">
        <f aca="false">="91-" &amp; MID(SUBSTITUTE(SUBSTITUTE(M27, " ", ""), "-", ""), 3, LEN(M27)-2) &amp; ""</f>
        <v>#VALUE!</v>
      </c>
      <c r="O27" s="7" t="s">
        <v>79</v>
      </c>
      <c r="P27" s="7" t="n">
        <v>4581</v>
      </c>
    </row>
    <row r="28" customFormat="false" ht="14.25" hidden="false" customHeight="true" outlineLevel="0" collapsed="false">
      <c r="E28" s="7" t="n">
        <v>22</v>
      </c>
      <c r="F28" s="7" t="s">
        <v>80</v>
      </c>
      <c r="G28" s="8" t="str">
        <f aca="false">IF(F28="",LEFT(L28, FIND("@", L28) - 1), F28)</f>
        <v>Manoj Kumar</v>
      </c>
      <c r="H28" s="7" t="n">
        <v>33</v>
      </c>
      <c r="I28" s="9" t="n">
        <f aca="false">IF(ISBLANK(H28),$B$9,H28)</f>
        <v>33</v>
      </c>
      <c r="J28" s="7" t="s">
        <v>13</v>
      </c>
      <c r="K28" s="7" t="s">
        <v>37</v>
      </c>
      <c r="L28" s="7" t="s">
        <v>81</v>
      </c>
      <c r="M28" s="7" t="n">
        <f aca="false">91-8888888888</f>
        <v>-8888888797</v>
      </c>
      <c r="N28" s="9" t="str">
        <f aca="false">="91-" &amp; MID(SUBSTITUTE(SUBSTITUTE(M28, " ", ""), "-", ""), 3, LEN(M28)-2) &amp; ""</f>
        <v>91-88888797</v>
      </c>
      <c r="O28" s="7" t="s">
        <v>82</v>
      </c>
      <c r="P28" s="7" t="n">
        <v>4580</v>
      </c>
    </row>
    <row r="29" customFormat="false" ht="14.25" hidden="false" customHeight="true" outlineLevel="0" collapsed="false">
      <c r="E29" s="7" t="n">
        <v>24</v>
      </c>
      <c r="F29" s="7" t="s">
        <v>83</v>
      </c>
      <c r="G29" s="8" t="str">
        <f aca="false">IF(F29="",LEFT(L29, FIND("@", L29) - 1), F29)</f>
        <v>Sanjay Gupta</v>
      </c>
      <c r="H29" s="7" t="n">
        <v>29</v>
      </c>
      <c r="I29" s="9" t="n">
        <f aca="false">IF(ISBLANK(H29),$B$9,H29)</f>
        <v>29</v>
      </c>
      <c r="J29" s="7" t="s">
        <v>13</v>
      </c>
      <c r="K29" s="7" t="s">
        <v>14</v>
      </c>
      <c r="L29" s="7" t="s">
        <v>84</v>
      </c>
      <c r="M29" s="7" t="s">
        <v>85</v>
      </c>
      <c r="N29" s="9" t="str">
        <f aca="false">="91-" &amp; MID(SUBSTITUTE(SUBSTITUTE(M29, " ", ""), "-", ""), 3, LEN(M29)-2) &amp; ""</f>
        <v>91-6666666666</v>
      </c>
      <c r="O29" s="7" t="s">
        <v>35</v>
      </c>
      <c r="P29" s="7" t="n">
        <v>4579</v>
      </c>
    </row>
    <row r="30" customFormat="false" ht="14.25" hidden="false" customHeight="true" outlineLevel="0" collapsed="false">
      <c r="E30" s="7" t="n">
        <v>25</v>
      </c>
      <c r="F30" s="7" t="s">
        <v>86</v>
      </c>
      <c r="G30" s="8" t="str">
        <f aca="false">IF(F30="",LEFT(L30, FIND("@", L30) - 1), F30)</f>
        <v>Anjali Sharma</v>
      </c>
      <c r="H30" s="7"/>
      <c r="I30" s="9" t="n">
        <f aca="false">IF(ISBLANK(H30),$B$9,H30)</f>
        <v>29</v>
      </c>
      <c r="J30" s="7" t="s">
        <v>19</v>
      </c>
      <c r="K30" s="7" t="s">
        <v>20</v>
      </c>
      <c r="L30" s="7" t="s">
        <v>87</v>
      </c>
      <c r="M30" s="7" t="n">
        <f aca="false">91-5555555555</f>
        <v>-5555555464</v>
      </c>
      <c r="N30" s="9" t="str">
        <f aca="false">="91-" &amp; MID(SUBSTITUTE(SUBSTITUTE(M30, " ", ""), "-", ""), 3, LEN(M30)-2) &amp; ""</f>
        <v>91-55555464</v>
      </c>
      <c r="O30" s="7" t="s">
        <v>88</v>
      </c>
      <c r="P30" s="7" t="n">
        <v>4578</v>
      </c>
    </row>
    <row r="31" customFormat="false" ht="14.25" hidden="false" customHeight="true" outlineLevel="0" collapsed="false">
      <c r="E31" s="7" t="n">
        <v>26</v>
      </c>
      <c r="F31" s="7" t="s">
        <v>89</v>
      </c>
      <c r="G31" s="8" t="str">
        <f aca="false">IF(F31="",LEFT(L31, FIND("@", L31) - 1), F31)</f>
        <v>Akash Patel</v>
      </c>
      <c r="H31" s="7" t="n">
        <v>31</v>
      </c>
      <c r="I31" s="9" t="n">
        <f aca="false">IF(ISBLANK(H31),$B$9,H31)</f>
        <v>31</v>
      </c>
      <c r="J31" s="7" t="s">
        <v>13</v>
      </c>
      <c r="K31" s="7" t="s">
        <v>62</v>
      </c>
      <c r="L31" s="7" t="s">
        <v>90</v>
      </c>
      <c r="M31" s="7"/>
      <c r="N31" s="9" t="e">
        <f aca="false">="91-" &amp; MID(SUBSTITUTE(SUBSTITUTE(M31, " ", ""), "-", ""), 3, LEN(M31)-2) &amp; ""</f>
        <v>#VALUE!</v>
      </c>
      <c r="O31" s="7" t="s">
        <v>91</v>
      </c>
      <c r="P31" s="7" t="n">
        <v>4577</v>
      </c>
    </row>
    <row r="32" customFormat="false" ht="14.25" hidden="false" customHeight="true" outlineLevel="0" collapsed="false">
      <c r="E32" s="7" t="n">
        <v>27</v>
      </c>
      <c r="F32" s="7" t="s">
        <v>92</v>
      </c>
      <c r="G32" s="8" t="str">
        <f aca="false">IF(F32="",LEFT(L32, FIND("@", L32) - 1), F32)</f>
        <v>Preeti Singh</v>
      </c>
      <c r="H32" s="7" t="n">
        <v>28</v>
      </c>
      <c r="I32" s="9" t="n">
        <f aca="false">IF(ISBLANK(H32),$B$9,H32)</f>
        <v>28</v>
      </c>
      <c r="J32" s="7" t="s">
        <v>19</v>
      </c>
      <c r="K32" s="7" t="s">
        <v>65</v>
      </c>
      <c r="L32" s="7" t="s">
        <v>93</v>
      </c>
      <c r="M32" s="7" t="n">
        <f aca="false">91-7777777777</f>
        <v>-7777777686</v>
      </c>
      <c r="N32" s="9" t="str">
        <f aca="false">="91-" &amp; MID(SUBSTITUTE(SUBSTITUTE(M32, " ", ""), "-", ""), 3, LEN(M32)-2) &amp; ""</f>
        <v>91-77777686</v>
      </c>
      <c r="O32" s="7" t="s">
        <v>94</v>
      </c>
      <c r="P32" s="7" t="n">
        <v>4576</v>
      </c>
    </row>
    <row r="33" customFormat="false" ht="14.25" hidden="false" customHeight="true" outlineLevel="0" collapsed="false">
      <c r="E33" s="7" t="n">
        <v>28</v>
      </c>
      <c r="F33" s="7" t="s">
        <v>95</v>
      </c>
      <c r="G33" s="8" t="str">
        <f aca="false">IF(F33="",LEFT(L33, FIND("@", L33) - 1), F33)</f>
        <v>Ravi Kumar</v>
      </c>
      <c r="H33" s="7" t="n">
        <v>34</v>
      </c>
      <c r="I33" s="9" t="n">
        <f aca="false">IF(ISBLANK(H33),$B$9,H33)</f>
        <v>34</v>
      </c>
      <c r="J33" s="7" t="s">
        <v>13</v>
      </c>
      <c r="K33" s="7" t="s">
        <v>37</v>
      </c>
      <c r="L33" s="7" t="s">
        <v>96</v>
      </c>
      <c r="M33" s="7" t="n">
        <f aca="false">91-8888888888</f>
        <v>-8888888797</v>
      </c>
      <c r="N33" s="9" t="str">
        <f aca="false">="91-" &amp; MID(SUBSTITUTE(SUBSTITUTE(M33, " ", ""), "-", ""), 3, LEN(M33)-2) &amp; ""</f>
        <v>91-88888797</v>
      </c>
      <c r="O33" s="7" t="s">
        <v>97</v>
      </c>
      <c r="P33" s="7" t="n">
        <v>4575</v>
      </c>
    </row>
    <row r="34" customFormat="false" ht="14.25" hidden="false" customHeight="true" outlineLevel="0" collapsed="false">
      <c r="E34" s="7" t="n">
        <v>29</v>
      </c>
      <c r="F34" s="7" t="s">
        <v>98</v>
      </c>
      <c r="G34" s="8" t="str">
        <f aca="false">IF(F34="",LEFT(L34, FIND("@", L34) - 1), F34)</f>
        <v>Swati Mishra</v>
      </c>
      <c r="H34" s="7" t="n">
        <v>26</v>
      </c>
      <c r="I34" s="9" t="n">
        <f aca="false">IF(ISBLANK(H34),$B$9,H34)</f>
        <v>26</v>
      </c>
      <c r="J34" s="7" t="s">
        <v>19</v>
      </c>
      <c r="K34" s="7" t="s">
        <v>25</v>
      </c>
      <c r="L34" s="7" t="s">
        <v>99</v>
      </c>
      <c r="M34" s="7" t="n">
        <f aca="false">91-7777777777</f>
        <v>-7777777686</v>
      </c>
      <c r="N34" s="9" t="str">
        <f aca="false">="91-" &amp; MID(SUBSTITUTE(SUBSTITUTE(M34, " ", ""), "-", ""), 3, LEN(M34)-2) &amp; ""</f>
        <v>91-77777686</v>
      </c>
      <c r="O34" s="7" t="s">
        <v>100</v>
      </c>
      <c r="P34" s="7" t="n">
        <v>4574</v>
      </c>
    </row>
    <row r="35" customFormat="false" ht="14.25" hidden="false" customHeight="true" outlineLevel="0" collapsed="false">
      <c r="E35" s="7" t="n">
        <v>30</v>
      </c>
      <c r="F35" s="7"/>
      <c r="G35" s="8" t="str">
        <f aca="false">IF(F35="",LEFT(L35, FIND("@", L35) - 1), F35)</f>
        <v>ankit.singh</v>
      </c>
      <c r="H35" s="7" t="n">
        <v>29</v>
      </c>
      <c r="I35" s="9" t="n">
        <f aca="false">IF(ISBLANK(H35),$B$9,H35)</f>
        <v>29</v>
      </c>
      <c r="J35" s="7" t="s">
        <v>13</v>
      </c>
      <c r="K35" s="7" t="s">
        <v>30</v>
      </c>
      <c r="L35" s="7" t="s">
        <v>101</v>
      </c>
      <c r="M35" s="7"/>
      <c r="N35" s="9" t="e">
        <f aca="false">="91-" &amp; MID(SUBSTITUTE(SUBSTITUTE(M35, " ", ""), "-", ""), 3, LEN(M35)-2) &amp; ""</f>
        <v>#VALUE!</v>
      </c>
      <c r="O35" s="7" t="s">
        <v>102</v>
      </c>
      <c r="P35" s="7" t="n">
        <v>4573</v>
      </c>
    </row>
    <row r="36" customFormat="false" ht="14.25" hidden="false" customHeight="true" outlineLevel="0" collapsed="false">
      <c r="E36" s="7" t="n">
        <v>31</v>
      </c>
      <c r="F36" s="7" t="s">
        <v>46</v>
      </c>
      <c r="G36" s="8" t="str">
        <f aca="false">IF(F36="",LEFT(L36, FIND("@", L36) - 1), F36)</f>
        <v>Neha Gupta</v>
      </c>
      <c r="H36" s="7" t="n">
        <v>27</v>
      </c>
      <c r="I36" s="9" t="n">
        <f aca="false">IF(ISBLANK(H36),$B$9,H36)</f>
        <v>27</v>
      </c>
      <c r="J36" s="7" t="s">
        <v>19</v>
      </c>
      <c r="K36" s="7" t="s">
        <v>47</v>
      </c>
      <c r="L36" s="7" t="s">
        <v>103</v>
      </c>
      <c r="M36" s="7" t="n">
        <f aca="false">91-5555555555</f>
        <v>-5555555464</v>
      </c>
      <c r="N36" s="9" t="str">
        <f aca="false">="91-" &amp; MID(SUBSTITUTE(SUBSTITUTE(M36, " ", ""), "-", ""), 3, LEN(M36)-2) &amp; ""</f>
        <v>91-55555464</v>
      </c>
      <c r="O36" s="7" t="s">
        <v>35</v>
      </c>
      <c r="P36" s="7" t="n">
        <v>4572</v>
      </c>
    </row>
    <row r="37" customFormat="false" ht="14.25" hidden="false" customHeight="true" outlineLevel="0" collapsed="false">
      <c r="E37" s="7" t="n">
        <v>32</v>
      </c>
      <c r="F37" s="7" t="s">
        <v>104</v>
      </c>
      <c r="G37" s="8" t="str">
        <f aca="false">IF(F37="",LEFT(L37, FIND("@", L37) - 1), F37)</f>
        <v>Rajeev Sharma</v>
      </c>
      <c r="H37" s="7" t="n">
        <v>32</v>
      </c>
      <c r="I37" s="9" t="n">
        <f aca="false">IF(ISBLANK(H37),$B$9,H37)</f>
        <v>32</v>
      </c>
      <c r="J37" s="7" t="s">
        <v>13</v>
      </c>
      <c r="K37" s="7" t="s">
        <v>62</v>
      </c>
      <c r="L37" s="7" t="s">
        <v>105</v>
      </c>
      <c r="M37" s="7"/>
      <c r="N37" s="9" t="e">
        <f aca="false">="91-" &amp; MID(SUBSTITUTE(SUBSTITUTE(M37, " ", ""), "-", ""), 3, LEN(M37)-2) &amp; ""</f>
        <v>#VALUE!</v>
      </c>
      <c r="O37" s="7" t="s">
        <v>106</v>
      </c>
      <c r="P37" s="7" t="n">
        <v>4571</v>
      </c>
    </row>
    <row r="38" customFormat="false" ht="14.25" hidden="false" customHeight="true" outlineLevel="0" collapsed="false">
      <c r="E38" s="7" t="n">
        <v>33</v>
      </c>
      <c r="F38" s="7"/>
      <c r="G38" s="8" t="str">
        <f aca="false">IF(F38="",LEFT(L38, FIND("@", L38) - 1), F38)</f>
        <v>sarika.patel</v>
      </c>
      <c r="H38" s="7" t="n">
        <v>33</v>
      </c>
      <c r="I38" s="9" t="n">
        <f aca="false">IF(ISBLANK(H38),$B$9,H38)</f>
        <v>33</v>
      </c>
      <c r="J38" s="7" t="s">
        <v>19</v>
      </c>
      <c r="K38" s="7" t="s">
        <v>65</v>
      </c>
      <c r="L38" s="7" t="s">
        <v>107</v>
      </c>
      <c r="M38" s="7" t="n">
        <f aca="false">91-6666666666</f>
        <v>-6666666575</v>
      </c>
      <c r="N38" s="9" t="str">
        <f aca="false">="91-" &amp; MID(SUBSTITUTE(SUBSTITUTE(M38, " ", ""), "-", ""), 3, LEN(M38)-2) &amp; ""</f>
        <v>91-66666575</v>
      </c>
      <c r="O38" s="7" t="s">
        <v>108</v>
      </c>
      <c r="P38" s="7" t="n">
        <v>4570</v>
      </c>
    </row>
    <row r="39" customFormat="false" ht="14.25" hidden="false" customHeight="true" outlineLevel="0" collapsed="false">
      <c r="E39" s="7" t="n">
        <v>34</v>
      </c>
      <c r="F39" s="7" t="s">
        <v>109</v>
      </c>
      <c r="G39" s="8" t="str">
        <f aca="false">IF(F39="",LEFT(L39, FIND("@", L39) - 1), F39)</f>
        <v>Vinay Singh</v>
      </c>
      <c r="H39" s="7" t="n">
        <v>30</v>
      </c>
      <c r="I39" s="9" t="n">
        <f aca="false">IF(ISBLANK(H39),$B$9,H39)</f>
        <v>30</v>
      </c>
      <c r="J39" s="7" t="s">
        <v>13</v>
      </c>
      <c r="K39" s="7" t="s">
        <v>37</v>
      </c>
      <c r="L39" s="7" t="s">
        <v>110</v>
      </c>
      <c r="M39" s="7"/>
      <c r="N39" s="9" t="e">
        <f aca="false">="91-" &amp; MID(SUBSTITUTE(SUBSTITUTE(M39, " ", ""), "-", ""), 3, LEN(M39)-2) &amp; ""</f>
        <v>#VALUE!</v>
      </c>
      <c r="O39" s="7" t="s">
        <v>111</v>
      </c>
      <c r="P39" s="7" t="n">
        <v>4569</v>
      </c>
    </row>
    <row r="40" customFormat="false" ht="14.25" hidden="false" customHeight="true" outlineLevel="0" collapsed="false">
      <c r="E40" s="7" t="n">
        <v>35</v>
      </c>
      <c r="F40" s="7" t="s">
        <v>112</v>
      </c>
      <c r="G40" s="8" t="str">
        <f aca="false">IF(F40="",LEFT(L40, FIND("@", L40) - 1), F40)</f>
        <v>Priya Gupta</v>
      </c>
      <c r="H40" s="7"/>
      <c r="I40" s="9" t="n">
        <f aca="false">IF(ISBLANK(H40),$B$9,H40)</f>
        <v>29</v>
      </c>
      <c r="J40" s="7" t="s">
        <v>19</v>
      </c>
      <c r="K40" s="7" t="s">
        <v>25</v>
      </c>
      <c r="L40" s="7" t="s">
        <v>113</v>
      </c>
      <c r="M40" s="7" t="n">
        <f aca="false">91-5555555555</f>
        <v>-5555555464</v>
      </c>
      <c r="N40" s="9" t="str">
        <f aca="false">="91-" &amp; MID(SUBSTITUTE(SUBSTITUTE(M40, " ", ""), "-", ""), 3, LEN(M40)-2) &amp; ""</f>
        <v>91-55555464</v>
      </c>
      <c r="O40" s="7" t="s">
        <v>114</v>
      </c>
      <c r="P40" s="7" t="n">
        <v>4568</v>
      </c>
    </row>
    <row r="41" customFormat="false" ht="14.25" hidden="false" customHeight="true" outlineLevel="0" collapsed="false">
      <c r="E41" s="7" t="n">
        <v>36</v>
      </c>
      <c r="F41" s="7" t="s">
        <v>115</v>
      </c>
      <c r="G41" s="8" t="str">
        <f aca="false">IF(F41="",LEFT(L41, FIND("@", L41) - 1), F41)</f>
        <v>Sushant Patel</v>
      </c>
      <c r="H41" s="7" t="n">
        <v>29</v>
      </c>
      <c r="I41" s="9" t="n">
        <f aca="false">IF(ISBLANK(H41),$B$9,H41)</f>
        <v>29</v>
      </c>
      <c r="J41" s="7" t="s">
        <v>13</v>
      </c>
      <c r="K41" s="7" t="s">
        <v>30</v>
      </c>
      <c r="L41" s="7" t="s">
        <v>116</v>
      </c>
      <c r="M41" s="7" t="n">
        <f aca="false">91-7777777777</f>
        <v>-7777777686</v>
      </c>
      <c r="N41" s="9" t="str">
        <f aca="false">="91-" &amp; MID(SUBSTITUTE(SUBSTITUTE(M41, " ", ""), "-", ""), 3, LEN(M41)-2) &amp; ""</f>
        <v>91-77777686</v>
      </c>
      <c r="O41" s="7" t="s">
        <v>117</v>
      </c>
      <c r="P41" s="7" t="n">
        <v>4567</v>
      </c>
    </row>
    <row r="42" customFormat="false" ht="14.25" hidden="false" customHeight="true" outlineLevel="0" collapsed="false">
      <c r="E42" s="7" t="n">
        <v>37</v>
      </c>
      <c r="F42" s="7"/>
      <c r="G42" s="8" t="str">
        <f aca="false">IF(F42="",LEFT(L42, FIND("@", L42) - 1), F42)</f>
        <v>payal.sharma</v>
      </c>
      <c r="H42" s="7" t="n">
        <v>31</v>
      </c>
      <c r="I42" s="9" t="n">
        <f aca="false">IF(ISBLANK(H42),$B$9,H42)</f>
        <v>31</v>
      </c>
      <c r="J42" s="7" t="s">
        <v>19</v>
      </c>
      <c r="K42" s="7" t="s">
        <v>47</v>
      </c>
      <c r="L42" s="7" t="s">
        <v>118</v>
      </c>
      <c r="M42" s="7"/>
      <c r="N42" s="9" t="e">
        <f aca="false">="91-" &amp; MID(SUBSTITUTE(SUBSTITUTE(M42, " ", ""), "-", ""), 3, LEN(M42)-2) &amp; ""</f>
        <v>#VALUE!</v>
      </c>
      <c r="O42" s="7" t="s">
        <v>119</v>
      </c>
      <c r="P42" s="7" t="n">
        <v>4566</v>
      </c>
    </row>
    <row r="43" customFormat="false" ht="14.25" hidden="false" customHeight="true" outlineLevel="0" collapsed="false">
      <c r="E43" s="7" t="n">
        <v>38</v>
      </c>
      <c r="F43" s="7" t="s">
        <v>120</v>
      </c>
      <c r="G43" s="8" t="str">
        <f aca="false">IF(F43="",LEFT(L43, FIND("@", L43) - 1), F43)</f>
        <v>Mohit Verma</v>
      </c>
      <c r="H43" s="7" t="n">
        <v>28</v>
      </c>
      <c r="I43" s="9" t="n">
        <f aca="false">IF(ISBLANK(H43),$B$9,H43)</f>
        <v>28</v>
      </c>
      <c r="J43" s="7" t="s">
        <v>13</v>
      </c>
      <c r="K43" s="7" t="s">
        <v>59</v>
      </c>
      <c r="L43" s="7" t="s">
        <v>121</v>
      </c>
      <c r="M43" s="7" t="n">
        <f aca="false">91-8888888888</f>
        <v>-8888888797</v>
      </c>
      <c r="N43" s="9" t="str">
        <f aca="false">="91-" &amp; MID(SUBSTITUTE(SUBSTITUTE(M43, " ", ""), "-", ""), 3, LEN(M43)-2) &amp; ""</f>
        <v>91-88888797</v>
      </c>
      <c r="O43" s="7" t="s">
        <v>122</v>
      </c>
      <c r="P43" s="7" t="n">
        <v>4565</v>
      </c>
    </row>
    <row r="44" customFormat="false" ht="14.25" hidden="false" customHeight="true" outlineLevel="0" collapsed="false">
      <c r="E44" s="7" t="n">
        <v>39</v>
      </c>
      <c r="F44" s="7" t="s">
        <v>123</v>
      </c>
      <c r="G44" s="8" t="str">
        <f aca="false">IF(F44="",LEFT(L44, FIND("@", L44) - 1), F44)</f>
        <v>Kavita Singh</v>
      </c>
      <c r="H44" s="7" t="n">
        <v>33</v>
      </c>
      <c r="I44" s="9" t="n">
        <f aca="false">IF(ISBLANK(H44),$B$9,H44)</f>
        <v>33</v>
      </c>
      <c r="J44" s="7" t="s">
        <v>19</v>
      </c>
      <c r="K44" s="7" t="s">
        <v>59</v>
      </c>
      <c r="L44" s="7" t="s">
        <v>124</v>
      </c>
      <c r="M44" s="7" t="n">
        <f aca="false">91-9999999999</f>
        <v>-9999999908</v>
      </c>
      <c r="N44" s="9" t="str">
        <f aca="false">="91-" &amp; MID(SUBSTITUTE(SUBSTITUTE(M44, " ", ""), "-", ""), 3, LEN(M44)-2) &amp; ""</f>
        <v>91-99999908</v>
      </c>
      <c r="O44" s="7" t="s">
        <v>125</v>
      </c>
      <c r="P44" s="7" t="n">
        <v>4564</v>
      </c>
    </row>
    <row r="45" customFormat="false" ht="14.25" hidden="false" customHeight="true" outlineLevel="0" collapsed="false">
      <c r="E45" s="7" t="n">
        <v>40</v>
      </c>
      <c r="F45" s="7" t="s">
        <v>126</v>
      </c>
      <c r="G45" s="8" t="str">
        <f aca="false">IF(F45="",LEFT(L45, FIND("@", L45) - 1), F45)</f>
        <v>Ankit Patel</v>
      </c>
      <c r="H45" s="7" t="n">
        <v>30</v>
      </c>
      <c r="I45" s="9" t="n">
        <f aca="false">IF(ISBLANK(H45),$B$9,H45)</f>
        <v>30</v>
      </c>
      <c r="J45" s="7" t="s">
        <v>13</v>
      </c>
      <c r="K45" s="7" t="s">
        <v>127</v>
      </c>
      <c r="L45" s="7" t="s">
        <v>128</v>
      </c>
      <c r="M45" s="7"/>
      <c r="N45" s="9" t="e">
        <f aca="false">="91-" &amp; MID(SUBSTITUTE(SUBSTITUTE(M45, " ", ""), "-", ""), 3, LEN(M45)-2) &amp; ""</f>
        <v>#VALUE!</v>
      </c>
      <c r="O45" s="7" t="s">
        <v>129</v>
      </c>
      <c r="P45" s="7" t="n">
        <v>4563</v>
      </c>
    </row>
    <row r="46" customFormat="false" ht="14.25" hidden="false" customHeight="true" outlineLevel="0" collapsed="false">
      <c r="E46" s="7" t="n">
        <v>41</v>
      </c>
      <c r="F46" s="7" t="s">
        <v>130</v>
      </c>
      <c r="G46" s="8" t="str">
        <f aca="false">IF(F46="",LEFT(L46, FIND("@", L46) - 1), F46)</f>
        <v>Pooja Mishra</v>
      </c>
      <c r="H46" s="7" t="n">
        <v>27</v>
      </c>
      <c r="I46" s="9" t="n">
        <f aca="false">IF(ISBLANK(H46),$B$9,H46)</f>
        <v>27</v>
      </c>
      <c r="J46" s="7" t="s">
        <v>19</v>
      </c>
      <c r="K46" s="7" t="s">
        <v>37</v>
      </c>
      <c r="L46" s="7" t="s">
        <v>131</v>
      </c>
      <c r="M46" s="7" t="n">
        <f aca="false">91-7777777777</f>
        <v>-7777777686</v>
      </c>
      <c r="N46" s="9" t="str">
        <f aca="false">="91-" &amp; MID(SUBSTITUTE(SUBSTITUTE(M46, " ", ""), "-", ""), 3, LEN(M46)-2) &amp; ""</f>
        <v>91-77777686</v>
      </c>
      <c r="O46" s="7" t="s">
        <v>132</v>
      </c>
      <c r="P46" s="7" t="n">
        <v>4562</v>
      </c>
    </row>
    <row r="47" customFormat="false" ht="14.25" hidden="false" customHeight="true" outlineLevel="0" collapsed="false">
      <c r="E47" s="7" t="n">
        <v>42</v>
      </c>
      <c r="F47" s="7" t="s">
        <v>133</v>
      </c>
      <c r="G47" s="8" t="str">
        <f aca="false">IF(F47="",LEFT(L47, FIND("@", L47) - 1), F47)</f>
        <v>Mohan Kumar</v>
      </c>
      <c r="H47" s="7" t="n">
        <v>29</v>
      </c>
      <c r="I47" s="9" t="n">
        <f aca="false">IF(ISBLANK(H47),$B$9,H47)</f>
        <v>29</v>
      </c>
      <c r="J47" s="7" t="s">
        <v>13</v>
      </c>
      <c r="K47" s="7" t="s">
        <v>30</v>
      </c>
      <c r="L47" s="7" t="s">
        <v>134</v>
      </c>
      <c r="M47" s="7"/>
      <c r="N47" s="9" t="e">
        <f aca="false">="91-" &amp; MID(SUBSTITUTE(SUBSTITUTE(M47, " ", ""), "-", ""), 3, LEN(M47)-2) &amp; ""</f>
        <v>#VALUE!</v>
      </c>
      <c r="O47" s="7" t="s">
        <v>135</v>
      </c>
      <c r="P47" s="7" t="n">
        <v>4561</v>
      </c>
    </row>
    <row r="48" customFormat="false" ht="14.25" hidden="false" customHeight="true" outlineLevel="0" collapsed="false">
      <c r="E48" s="7" t="n">
        <v>43</v>
      </c>
      <c r="F48" s="7" t="s">
        <v>136</v>
      </c>
      <c r="G48" s="8" t="str">
        <f aca="false">IF(F48="",LEFT(L48, FIND("@", L48) - 1), F48)</f>
        <v>Anjali Gupta</v>
      </c>
      <c r="H48" s="7" t="n">
        <v>26</v>
      </c>
      <c r="I48" s="9" t="n">
        <f aca="false">IF(ISBLANK(H48),$B$9,H48)</f>
        <v>26</v>
      </c>
      <c r="J48" s="7" t="s">
        <v>19</v>
      </c>
      <c r="K48" s="7" t="s">
        <v>62</v>
      </c>
      <c r="L48" s="7" t="s">
        <v>137</v>
      </c>
      <c r="M48" s="7" t="n">
        <f aca="false">91-5555555555</f>
        <v>-5555555464</v>
      </c>
      <c r="N48" s="9" t="str">
        <f aca="false">="91-" &amp; MID(SUBSTITUTE(SUBSTITUTE(M48, " ", ""), "-", ""), 3, LEN(M48)-2) &amp; ""</f>
        <v>91-55555464</v>
      </c>
      <c r="O48" s="7" t="s">
        <v>138</v>
      </c>
      <c r="P48" s="7" t="n">
        <v>4560</v>
      </c>
    </row>
    <row r="49" customFormat="false" ht="14.25" hidden="false" customHeight="true" outlineLevel="0" collapsed="false">
      <c r="E49" s="7" t="n">
        <v>44</v>
      </c>
      <c r="F49" s="7"/>
      <c r="G49" s="8" t="str">
        <f aca="false">IF(F49="",LEFT(L49, FIND("@", L49) - 1), F49)</f>
        <v>mukesh.sharma</v>
      </c>
      <c r="H49" s="7" t="n">
        <v>28</v>
      </c>
      <c r="I49" s="9" t="n">
        <f aca="false">IF(ISBLANK(H49),$B$9,H49)</f>
        <v>28</v>
      </c>
      <c r="J49" s="7" t="s">
        <v>13</v>
      </c>
      <c r="K49" s="7" t="s">
        <v>65</v>
      </c>
      <c r="L49" s="7" t="s">
        <v>139</v>
      </c>
      <c r="M49" s="7"/>
      <c r="N49" s="9" t="e">
        <f aca="false">="91-" &amp; MID(SUBSTITUTE(SUBSTITUTE(M49, " ", ""), "-", ""), 3, LEN(M49)-2) &amp; ""</f>
        <v>#VALUE!</v>
      </c>
      <c r="O49" s="7" t="s">
        <v>140</v>
      </c>
      <c r="P49" s="7" t="n">
        <v>4559</v>
      </c>
    </row>
    <row r="50" customFormat="false" ht="14.25" hidden="false" customHeight="true" outlineLevel="0" collapsed="false">
      <c r="E50" s="7" t="n">
        <v>45</v>
      </c>
      <c r="F50" s="7" t="s">
        <v>141</v>
      </c>
      <c r="G50" s="8" t="str">
        <f aca="false">IF(F50="",LEFT(L50, FIND("@", L50) - 1), F50)</f>
        <v>Arjun Singh</v>
      </c>
      <c r="H50" s="7" t="n">
        <v>31</v>
      </c>
      <c r="I50" s="9" t="n">
        <f aca="false">IF(ISBLANK(H50),$B$9,H50)</f>
        <v>31</v>
      </c>
      <c r="J50" s="7" t="s">
        <v>13</v>
      </c>
      <c r="K50" s="7" t="s">
        <v>37</v>
      </c>
      <c r="L50" s="7" t="s">
        <v>142</v>
      </c>
      <c r="M50" s="7" t="n">
        <f aca="false">91-8888888888</f>
        <v>-8888888797</v>
      </c>
      <c r="N50" s="9" t="str">
        <f aca="false">="91-" &amp; MID(SUBSTITUTE(SUBSTITUTE(M50, " ", ""), "-", ""), 3, LEN(M50)-2) &amp; ""</f>
        <v>91-88888797</v>
      </c>
      <c r="O50" s="7" t="s">
        <v>35</v>
      </c>
      <c r="P50" s="7" t="n">
        <v>4558</v>
      </c>
    </row>
    <row r="51" customFormat="false" ht="14.25" hidden="false" customHeight="true" outlineLevel="0" collapsed="false">
      <c r="E51" s="7" t="n">
        <v>46</v>
      </c>
      <c r="F51" s="7" t="s">
        <v>143</v>
      </c>
      <c r="G51" s="8" t="str">
        <f aca="false">IF(F51="",LEFT(L51, FIND("@", L51) - 1), F51)</f>
        <v>Divya Patel</v>
      </c>
      <c r="H51" s="7" t="n">
        <v>27</v>
      </c>
      <c r="I51" s="9" t="n">
        <f aca="false">IF(ISBLANK(H51),$B$9,H51)</f>
        <v>27</v>
      </c>
      <c r="J51" s="7" t="s">
        <v>19</v>
      </c>
      <c r="K51" s="7" t="s">
        <v>59</v>
      </c>
      <c r="L51" s="7" t="s">
        <v>144</v>
      </c>
      <c r="M51" s="7" t="n">
        <f aca="false">91-7777777777</f>
        <v>-7777777686</v>
      </c>
      <c r="N51" s="9" t="str">
        <f aca="false">="91-" &amp; MID(SUBSTITUTE(SUBSTITUTE(M51, " ", ""), "-", ""), 3, LEN(M51)-2) &amp; ""</f>
        <v>91-77777686</v>
      </c>
      <c r="O51" s="7" t="s">
        <v>145</v>
      </c>
      <c r="P51" s="7" t="n">
        <v>4557</v>
      </c>
    </row>
    <row r="52" customFormat="false" ht="14.25" hidden="false" customHeight="true" outlineLevel="0" collapsed="false">
      <c r="E52" s="7" t="n">
        <v>47</v>
      </c>
      <c r="F52" s="7"/>
      <c r="G52" s="8" t="str">
        <f aca="false">IF(F52="",LEFT(L52, FIND("@", L52) - 1), F52)</f>
        <v>gaurav.kumar</v>
      </c>
      <c r="H52" s="7" t="n">
        <v>29</v>
      </c>
      <c r="I52" s="9" t="n">
        <f aca="false">IF(ISBLANK(H52),$B$9,H52)</f>
        <v>29</v>
      </c>
      <c r="J52" s="7" t="s">
        <v>13</v>
      </c>
      <c r="K52" s="7" t="s">
        <v>59</v>
      </c>
      <c r="L52" s="7" t="s">
        <v>146</v>
      </c>
      <c r="M52" s="7"/>
      <c r="N52" s="9" t="e">
        <f aca="false">="91-" &amp; MID(SUBSTITUTE(SUBSTITUTE(M52, " ", ""), "-", ""), 3, LEN(M52)-2) &amp; ""</f>
        <v>#VALUE!</v>
      </c>
      <c r="O52" s="7" t="s">
        <v>147</v>
      </c>
      <c r="P52" s="7" t="n">
        <v>4556</v>
      </c>
    </row>
    <row r="53" customFormat="false" ht="14.25" hidden="false" customHeight="true" outlineLevel="0" collapsed="false">
      <c r="E53" s="7" t="n">
        <v>48</v>
      </c>
      <c r="F53" s="7" t="s">
        <v>148</v>
      </c>
      <c r="G53" s="8" t="str">
        <f aca="false">IF(F53="",LEFT(L53, FIND("@", L53) - 1), F53)</f>
        <v>Aditi Shah</v>
      </c>
      <c r="H53" s="7" t="n">
        <v>32</v>
      </c>
      <c r="I53" s="9" t="n">
        <f aca="false">IF(ISBLANK(H53),$B$9,H53)</f>
        <v>32</v>
      </c>
      <c r="J53" s="7" t="s">
        <v>19</v>
      </c>
      <c r="K53" s="7" t="s">
        <v>25</v>
      </c>
      <c r="L53" s="7" t="s">
        <v>149</v>
      </c>
      <c r="M53" s="7" t="n">
        <f aca="false">91-6666666666</f>
        <v>-6666666575</v>
      </c>
      <c r="N53" s="9" t="str">
        <f aca="false">="91-" &amp; MID(SUBSTITUTE(SUBSTITUTE(M53, " ", ""), "-", ""), 3, LEN(M53)-2) &amp; ""</f>
        <v>91-66666575</v>
      </c>
      <c r="O53" s="7" t="s">
        <v>150</v>
      </c>
      <c r="P53" s="7" t="n">
        <v>4555</v>
      </c>
    </row>
    <row r="54" customFormat="false" ht="14.25" hidden="false" customHeight="true" outlineLevel="0" collapsed="false">
      <c r="E54" s="7" t="n">
        <v>49</v>
      </c>
      <c r="F54" s="7" t="s">
        <v>151</v>
      </c>
      <c r="G54" s="8" t="str">
        <f aca="false">IF(F54="",LEFT(L54, FIND("@", L54) - 1), F54)</f>
        <v>Sandeep Singh</v>
      </c>
      <c r="H54" s="7"/>
      <c r="I54" s="9" t="n">
        <f aca="false">IF(ISBLANK(H54),$B$9,H54)</f>
        <v>29</v>
      </c>
      <c r="J54" s="7" t="s">
        <v>13</v>
      </c>
      <c r="K54" s="7" t="s">
        <v>30</v>
      </c>
      <c r="L54" s="7" t="s">
        <v>152</v>
      </c>
      <c r="M54" s="7" t="n">
        <f aca="false">91-5555555555</f>
        <v>-5555555464</v>
      </c>
      <c r="N54" s="9" t="str">
        <f aca="false">="91-" &amp; MID(SUBSTITUTE(SUBSTITUTE(M54, " ", ""), "-", ""), 3, LEN(M54)-2) &amp; ""</f>
        <v>91-55555464</v>
      </c>
      <c r="O54" s="7" t="s">
        <v>153</v>
      </c>
      <c r="P54" s="7" t="n">
        <v>4554</v>
      </c>
    </row>
    <row r="55" customFormat="false" ht="14.25" hidden="false" customHeight="true" outlineLevel="0" collapsed="false">
      <c r="E55" s="7" t="n">
        <v>50</v>
      </c>
      <c r="F55" s="7" t="s">
        <v>154</v>
      </c>
      <c r="G55" s="8" t="str">
        <f aca="false">IF(F55="",LEFT(L55, FIND("@", L55) - 1), F55)</f>
        <v>Shalini Sharma</v>
      </c>
      <c r="H55" s="7" t="n">
        <v>30</v>
      </c>
      <c r="I55" s="9" t="n">
        <f aca="false">IF(ISBLANK(H55),$B$9,H55)</f>
        <v>30</v>
      </c>
      <c r="J55" s="7" t="s">
        <v>19</v>
      </c>
      <c r="K55" s="7" t="s">
        <v>30</v>
      </c>
      <c r="L55" s="7" t="s">
        <v>155</v>
      </c>
      <c r="M55" s="7"/>
      <c r="N55" s="9" t="e">
        <f aca="false">="91-" &amp; MID(SUBSTITUTE(SUBSTITUTE(M55, " ", ""), "-", ""), 3, LEN(M55)-2) &amp; ""</f>
        <v>#VALUE!</v>
      </c>
      <c r="O55" s="7" t="s">
        <v>156</v>
      </c>
      <c r="P55" s="7" t="n">
        <v>4553</v>
      </c>
    </row>
    <row r="56" customFormat="false" ht="14.25" hidden="false" customHeight="true" outlineLevel="0" collapsed="false"/>
    <row r="57" customFormat="false" ht="14.25" hidden="false" customHeight="true" outlineLevel="0" collapsed="false"/>
    <row r="58" customFormat="false" ht="14.25" hidden="false" customHeight="true" outlineLevel="0" collapsed="false"/>
    <row r="59" customFormat="false" ht="14.25" hidden="false" customHeight="true" outlineLevel="0" collapsed="false"/>
    <row r="60" customFormat="false" ht="14.25" hidden="false" customHeight="true" outlineLevel="0" collapsed="false"/>
    <row r="61" customFormat="false" ht="14.25" hidden="false" customHeight="true" outlineLevel="0" collapsed="false"/>
    <row r="62" customFormat="false" ht="14.25" hidden="false" customHeight="true" outlineLevel="0" collapsed="false"/>
    <row r="63" customFormat="false" ht="14.25" hidden="false" customHeight="true" outlineLevel="0" collapsed="false"/>
    <row r="64" customFormat="false" ht="14.25" hidden="false" customHeight="true" outlineLevel="0" collapsed="false"/>
    <row r="65" customFormat="false" ht="14.25" hidden="false" customHeight="true" outlineLevel="0" collapsed="false"/>
    <row r="66" customFormat="false" ht="14.25" hidden="false" customHeight="true" outlineLevel="0" collapsed="false"/>
    <row r="67" customFormat="false" ht="14.25" hidden="false" customHeight="true" outlineLevel="0" collapsed="false"/>
    <row r="68" customFormat="false" ht="14.25" hidden="false" customHeight="true" outlineLevel="0" collapsed="false"/>
    <row r="69" customFormat="false" ht="14.25" hidden="false" customHeight="true" outlineLevel="0" collapsed="false"/>
    <row r="70" customFormat="false" ht="14.25" hidden="false" customHeight="true" outlineLevel="0" collapsed="false"/>
    <row r="71" customFormat="false" ht="14.25" hidden="false" customHeight="true" outlineLevel="0" collapsed="false"/>
    <row r="72" customFormat="false" ht="14.25" hidden="false" customHeight="true" outlineLevel="0" collapsed="false"/>
    <row r="73" customFormat="false" ht="14.25" hidden="false" customHeight="true" outlineLevel="0" collapsed="false"/>
    <row r="74" customFormat="false" ht="14.25" hidden="false" customHeight="true" outlineLevel="0" collapsed="false"/>
    <row r="75" customFormat="false" ht="14.25" hidden="false" customHeight="true" outlineLevel="0" collapsed="false"/>
    <row r="76" customFormat="false" ht="14.25" hidden="false" customHeight="true" outlineLevel="0" collapsed="false"/>
    <row r="77" customFormat="false" ht="14.25" hidden="false" customHeight="true" outlineLevel="0" collapsed="false"/>
    <row r="78" customFormat="false" ht="14.25" hidden="false" customHeight="true" outlineLevel="0" collapsed="false"/>
    <row r="79" customFormat="false" ht="14.25" hidden="false" customHeight="true" outlineLevel="0" collapsed="false"/>
    <row r="80" customFormat="false" ht="14.25" hidden="false" customHeight="true" outlineLevel="0" collapsed="false"/>
    <row r="81" customFormat="false" ht="14.25" hidden="false" customHeight="true" outlineLevel="0" collapsed="false"/>
    <row r="82" customFormat="false" ht="14.25" hidden="false" customHeight="true" outlineLevel="0" collapsed="false"/>
    <row r="83" customFormat="false" ht="14.25" hidden="false" customHeight="true" outlineLevel="0" collapsed="false"/>
    <row r="84" customFormat="false" ht="14.25" hidden="false" customHeight="true" outlineLevel="0" collapsed="false"/>
    <row r="85" customFormat="false" ht="14.25" hidden="false" customHeight="true" outlineLevel="0" collapsed="false"/>
    <row r="86" customFormat="false" ht="14.25" hidden="false" customHeight="true" outlineLevel="0" collapsed="false"/>
    <row r="87" customFormat="false" ht="14.25" hidden="false" customHeight="true" outlineLevel="0" collapsed="false"/>
    <row r="88" customFormat="false" ht="14.25" hidden="false" customHeight="true" outlineLevel="0" collapsed="false"/>
    <row r="89" customFormat="false" ht="14.25" hidden="false" customHeight="true" outlineLevel="0" collapsed="false"/>
    <row r="90" customFormat="false" ht="14.25" hidden="false" customHeight="true" outlineLevel="0" collapsed="false"/>
    <row r="91" customFormat="false" ht="14.25" hidden="false" customHeight="true" outlineLevel="0" collapsed="false"/>
    <row r="92" customFormat="false" ht="14.25" hidden="false" customHeight="true" outlineLevel="0" collapsed="false"/>
    <row r="93" customFormat="false" ht="14.25" hidden="false" customHeight="true" outlineLevel="0" collapsed="false"/>
    <row r="94" customFormat="false" ht="14.25" hidden="false" customHeight="true" outlineLevel="0" collapsed="false"/>
    <row r="95" customFormat="false" ht="14.25" hidden="false" customHeight="true" outlineLevel="0" collapsed="false"/>
    <row r="96" customFormat="false" ht="14.25" hidden="false" customHeight="true" outlineLevel="0" collapsed="false"/>
    <row r="97" customFormat="false" ht="14.25" hidden="false" customHeight="true" outlineLevel="0" collapsed="false"/>
    <row r="98" customFormat="false" ht="14.25" hidden="false" customHeight="true" outlineLevel="0" collapsed="false"/>
    <row r="99" customFormat="false" ht="14.25" hidden="false" customHeight="true" outlineLevel="0" collapsed="false"/>
    <row r="100" customFormat="false" ht="14.25" hidden="false" customHeight="true" outlineLevel="0" collapsed="false"/>
    <row r="101" customFormat="false" ht="14.25" hidden="false" customHeight="true" outlineLevel="0" collapsed="false"/>
    <row r="102" customFormat="false" ht="14.25" hidden="false" customHeight="true" outlineLevel="0" collapsed="false"/>
    <row r="103" customFormat="false" ht="14.25" hidden="false" customHeight="true" outlineLevel="0" collapsed="false"/>
    <row r="104" customFormat="false" ht="14.25" hidden="false" customHeight="true" outlineLevel="0" collapsed="false"/>
    <row r="105" customFormat="false" ht="14.25" hidden="false" customHeight="true" outlineLevel="0" collapsed="false"/>
    <row r="106" customFormat="false" ht="14.25" hidden="false" customHeight="true" outlineLevel="0" collapsed="false"/>
    <row r="107" customFormat="false" ht="14.25" hidden="false" customHeight="true" outlineLevel="0" collapsed="false"/>
    <row r="108" customFormat="false" ht="14.25" hidden="false" customHeight="true" outlineLevel="0" collapsed="false"/>
    <row r="109" customFormat="false" ht="14.25" hidden="false" customHeight="true" outlineLevel="0" collapsed="false"/>
    <row r="110" customFormat="false" ht="14.25" hidden="false" customHeight="true" outlineLevel="0" collapsed="false"/>
    <row r="111" customFormat="false" ht="14.25" hidden="false" customHeight="true" outlineLevel="0" collapsed="false"/>
    <row r="112" customFormat="false" ht="14.25" hidden="false" customHeight="true" outlineLevel="0" collapsed="false"/>
    <row r="113" customFormat="false" ht="14.25" hidden="false" customHeight="true" outlineLevel="0" collapsed="false"/>
    <row r="114" customFormat="false" ht="14.25" hidden="false" customHeight="true" outlineLevel="0" collapsed="false"/>
    <row r="115" customFormat="false" ht="14.25" hidden="false" customHeight="true" outlineLevel="0" collapsed="false"/>
    <row r="116" customFormat="false" ht="14.25" hidden="false" customHeight="true" outlineLevel="0" collapsed="false"/>
    <row r="117" customFormat="false" ht="14.25" hidden="false" customHeight="true" outlineLevel="0" collapsed="false"/>
    <row r="118" customFormat="false" ht="14.25" hidden="false" customHeight="true" outlineLevel="0" collapsed="false"/>
    <row r="119" customFormat="false" ht="14.25" hidden="false" customHeight="true" outlineLevel="0" collapsed="false"/>
    <row r="120" customFormat="false" ht="14.25" hidden="false" customHeight="true" outlineLevel="0" collapsed="false"/>
    <row r="121" customFormat="false" ht="14.25" hidden="false" customHeight="true" outlineLevel="0" collapsed="false"/>
    <row r="122" customFormat="false" ht="14.25" hidden="false" customHeight="true" outlineLevel="0" collapsed="false"/>
    <row r="123" customFormat="false" ht="14.25" hidden="false" customHeight="true" outlineLevel="0" collapsed="false"/>
    <row r="124" customFormat="false" ht="14.25" hidden="false" customHeight="true" outlineLevel="0" collapsed="false"/>
    <row r="125" customFormat="false" ht="14.25" hidden="false" customHeight="true" outlineLevel="0" collapsed="false"/>
    <row r="126" customFormat="false" ht="14.25" hidden="false" customHeight="true" outlineLevel="0" collapsed="false"/>
    <row r="127" customFormat="false" ht="14.25" hidden="false" customHeight="true" outlineLevel="0" collapsed="false"/>
    <row r="128" customFormat="false" ht="14.25" hidden="false" customHeight="true" outlineLevel="0" collapsed="false"/>
    <row r="129" customFormat="false" ht="14.25" hidden="false" customHeight="true" outlineLevel="0" collapsed="false"/>
    <row r="130" customFormat="false" ht="14.25" hidden="false" customHeight="true" outlineLevel="0" collapsed="false"/>
    <row r="131" customFormat="false" ht="14.25" hidden="false" customHeight="true" outlineLevel="0" collapsed="false"/>
    <row r="132" customFormat="false" ht="14.25" hidden="false" customHeight="true" outlineLevel="0" collapsed="false"/>
    <row r="133" customFormat="false" ht="14.25" hidden="false" customHeight="true" outlineLevel="0" collapsed="false"/>
    <row r="134" customFormat="false" ht="14.25" hidden="false" customHeight="true" outlineLevel="0" collapsed="false"/>
    <row r="135" customFormat="false" ht="14.25" hidden="false" customHeight="true" outlineLevel="0" collapsed="false"/>
    <row r="136" customFormat="false" ht="14.25" hidden="false" customHeight="true" outlineLevel="0" collapsed="false"/>
    <row r="137" customFormat="false" ht="14.25" hidden="false" customHeight="true" outlineLevel="0" collapsed="false"/>
    <row r="138" customFormat="false" ht="14.25" hidden="false" customHeight="true" outlineLevel="0" collapsed="false"/>
    <row r="139" customFormat="false" ht="14.25" hidden="false" customHeight="true" outlineLevel="0" collapsed="false"/>
    <row r="140" customFormat="false" ht="14.25" hidden="false" customHeight="true" outlineLevel="0" collapsed="false"/>
    <row r="141" customFormat="false" ht="14.25" hidden="false" customHeight="true" outlineLevel="0" collapsed="false"/>
    <row r="142" customFormat="false" ht="14.25" hidden="false" customHeight="true" outlineLevel="0" collapsed="false"/>
    <row r="143" customFormat="false" ht="14.25" hidden="false" customHeight="true" outlineLevel="0" collapsed="false"/>
    <row r="144" customFormat="false" ht="14.25" hidden="false" customHeight="true" outlineLevel="0" collapsed="false"/>
    <row r="145" customFormat="false" ht="14.25" hidden="false" customHeight="true" outlineLevel="0" collapsed="false"/>
    <row r="146" customFormat="false" ht="14.25" hidden="false" customHeight="true" outlineLevel="0" collapsed="false"/>
    <row r="147" customFormat="false" ht="14.25" hidden="false" customHeight="true" outlineLevel="0" collapsed="false"/>
    <row r="148" customFormat="false" ht="14.25" hidden="false" customHeight="true" outlineLevel="0" collapsed="false"/>
    <row r="149" customFormat="false" ht="14.25" hidden="false" customHeight="true" outlineLevel="0" collapsed="false"/>
    <row r="150" customFormat="false" ht="14.25" hidden="false" customHeight="true" outlineLevel="0" collapsed="false"/>
    <row r="151" customFormat="false" ht="14.25" hidden="false" customHeight="true" outlineLevel="0" collapsed="false"/>
    <row r="152" customFormat="false" ht="14.25" hidden="false" customHeight="true" outlineLevel="0" collapsed="false"/>
    <row r="153" customFormat="false" ht="14.25" hidden="false" customHeight="true" outlineLevel="0" collapsed="false"/>
    <row r="154" customFormat="false" ht="14.25" hidden="false" customHeight="true" outlineLevel="0" collapsed="false"/>
    <row r="155" customFormat="false" ht="14.25" hidden="false" customHeight="true" outlineLevel="0" collapsed="false"/>
    <row r="156" customFormat="false" ht="14.25" hidden="false" customHeight="true" outlineLevel="0" collapsed="false"/>
    <row r="157" customFormat="false" ht="14.25" hidden="false" customHeight="true" outlineLevel="0" collapsed="false"/>
    <row r="158" customFormat="false" ht="14.25" hidden="false" customHeight="true" outlineLevel="0" collapsed="false"/>
    <row r="159" customFormat="false" ht="14.25" hidden="false" customHeight="true" outlineLevel="0" collapsed="false"/>
    <row r="160" customFormat="false" ht="14.25" hidden="false" customHeight="true" outlineLevel="0" collapsed="false"/>
    <row r="161" customFormat="false" ht="14.25" hidden="false" customHeight="true" outlineLevel="0" collapsed="false"/>
    <row r="162" customFormat="false" ht="14.25" hidden="false" customHeight="true" outlineLevel="0" collapsed="false"/>
    <row r="163" customFormat="false" ht="14.25" hidden="false" customHeight="true" outlineLevel="0" collapsed="false"/>
    <row r="164" customFormat="false" ht="14.25" hidden="false" customHeight="true" outlineLevel="0" collapsed="false"/>
    <row r="165" customFormat="false" ht="14.25" hidden="false" customHeight="true" outlineLevel="0" collapsed="false"/>
    <row r="166" customFormat="false" ht="14.25" hidden="false" customHeight="true" outlineLevel="0" collapsed="false"/>
    <row r="167" customFormat="false" ht="14.25" hidden="false" customHeight="true" outlineLevel="0" collapsed="false"/>
    <row r="168" customFormat="false" ht="14.25" hidden="false" customHeight="true" outlineLevel="0" collapsed="false"/>
    <row r="169" customFormat="false" ht="14.25" hidden="false" customHeight="true" outlineLevel="0" collapsed="false"/>
    <row r="170" customFormat="false" ht="14.25" hidden="false" customHeight="true" outlineLevel="0" collapsed="false"/>
    <row r="171" customFormat="false" ht="14.25" hidden="false" customHeight="true" outlineLevel="0" collapsed="false"/>
    <row r="172" customFormat="false" ht="14.25" hidden="false" customHeight="true" outlineLevel="0" collapsed="false"/>
    <row r="173" customFormat="false" ht="14.25" hidden="false" customHeight="true" outlineLevel="0" collapsed="false"/>
    <row r="174" customFormat="false" ht="14.25" hidden="false" customHeight="true" outlineLevel="0" collapsed="false"/>
    <row r="175" customFormat="false" ht="14.25" hidden="false" customHeight="true" outlineLevel="0" collapsed="false"/>
    <row r="176" customFormat="false" ht="14.25" hidden="false" customHeight="true" outlineLevel="0" collapsed="false"/>
    <row r="177" customFormat="false" ht="14.25" hidden="false" customHeight="true" outlineLevel="0" collapsed="false"/>
    <row r="178" customFormat="false" ht="14.25" hidden="false" customHeight="true" outlineLevel="0" collapsed="false"/>
    <row r="179" customFormat="false" ht="14.25" hidden="false" customHeight="true" outlineLevel="0" collapsed="false"/>
    <row r="180" customFormat="false" ht="14.25" hidden="false" customHeight="true" outlineLevel="0" collapsed="false"/>
    <row r="181" customFormat="false" ht="14.25" hidden="false" customHeight="true" outlineLevel="0" collapsed="false"/>
    <row r="182" customFormat="false" ht="14.25" hidden="false" customHeight="true" outlineLevel="0" collapsed="false"/>
    <row r="183" customFormat="false" ht="14.25" hidden="false" customHeight="true" outlineLevel="0" collapsed="false"/>
    <row r="184" customFormat="false" ht="14.25" hidden="false" customHeight="true" outlineLevel="0" collapsed="false"/>
    <row r="185" customFormat="false" ht="14.25" hidden="false" customHeight="true" outlineLevel="0" collapsed="false"/>
    <row r="186" customFormat="false" ht="14.25" hidden="false" customHeight="true" outlineLevel="0" collapsed="false"/>
    <row r="187" customFormat="false" ht="14.25" hidden="false" customHeight="true" outlineLevel="0" collapsed="false"/>
    <row r="188" customFormat="false" ht="14.25" hidden="false" customHeight="true" outlineLevel="0" collapsed="false"/>
    <row r="189" customFormat="false" ht="14.25" hidden="false" customHeight="true" outlineLevel="0" collapsed="false"/>
    <row r="190" customFormat="false" ht="14.25" hidden="false" customHeight="true" outlineLevel="0" collapsed="false"/>
    <row r="191" customFormat="false" ht="14.25" hidden="false" customHeight="true" outlineLevel="0" collapsed="false"/>
    <row r="192" customFormat="false" ht="14.25" hidden="false" customHeight="true" outlineLevel="0" collapsed="false"/>
    <row r="193" customFormat="false" ht="14.25" hidden="false" customHeight="true" outlineLevel="0" collapsed="false"/>
    <row r="194" customFormat="false" ht="14.25" hidden="false" customHeight="true" outlineLevel="0" collapsed="false"/>
    <row r="195" customFormat="false" ht="14.25" hidden="false" customHeight="true" outlineLevel="0" collapsed="false"/>
    <row r="196" customFormat="false" ht="14.25" hidden="false" customHeight="true" outlineLevel="0" collapsed="false"/>
    <row r="197" customFormat="false" ht="14.25" hidden="false" customHeight="true" outlineLevel="0" collapsed="false"/>
    <row r="198" customFormat="false" ht="14.25" hidden="false" customHeight="true" outlineLevel="0" collapsed="false"/>
    <row r="199" customFormat="false" ht="14.25" hidden="false" customHeight="true" outlineLevel="0" collapsed="false"/>
    <row r="200" customFormat="false" ht="14.25" hidden="false" customHeight="true" outlineLevel="0" collapsed="false"/>
    <row r="201" customFormat="false" ht="14.25" hidden="false" customHeight="true" outlineLevel="0" collapsed="false"/>
    <row r="202" customFormat="false" ht="14.25" hidden="false" customHeight="true" outlineLevel="0" collapsed="false"/>
    <row r="203" customFormat="false" ht="14.25" hidden="false" customHeight="true" outlineLevel="0" collapsed="false"/>
    <row r="204" customFormat="false" ht="14.25" hidden="false" customHeight="true" outlineLevel="0" collapsed="false"/>
    <row r="205" customFormat="false" ht="14.25" hidden="false" customHeight="true" outlineLevel="0" collapsed="false"/>
    <row r="206" customFormat="false" ht="14.25" hidden="false" customHeight="true" outlineLevel="0" collapsed="false"/>
    <row r="207" customFormat="false" ht="14.25" hidden="false" customHeight="true" outlineLevel="0" collapsed="false"/>
    <row r="208" customFormat="false" ht="14.25" hidden="false" customHeight="true" outlineLevel="0" collapsed="false"/>
    <row r="209" customFormat="false" ht="14.25" hidden="false" customHeight="true" outlineLevel="0" collapsed="false"/>
    <row r="210" customFormat="false" ht="14.25" hidden="false" customHeight="true" outlineLevel="0" collapsed="false"/>
    <row r="211" customFormat="false" ht="14.25" hidden="false" customHeight="true" outlineLevel="0" collapsed="false"/>
    <row r="212" customFormat="false" ht="14.25" hidden="false" customHeight="true" outlineLevel="0" collapsed="false"/>
    <row r="213" customFormat="false" ht="14.25" hidden="false" customHeight="true" outlineLevel="0" collapsed="false"/>
    <row r="214" customFormat="false" ht="14.25" hidden="false" customHeight="true" outlineLevel="0" collapsed="false"/>
    <row r="215" customFormat="false" ht="14.25" hidden="false" customHeight="true" outlineLevel="0" collapsed="false"/>
    <row r="216" customFormat="false" ht="14.25" hidden="false" customHeight="true" outlineLevel="0" collapsed="false"/>
    <row r="217" customFormat="false" ht="14.25" hidden="false" customHeight="true" outlineLevel="0" collapsed="false"/>
    <row r="218" customFormat="false" ht="14.25" hidden="false" customHeight="true" outlineLevel="0" collapsed="false"/>
    <row r="219" customFormat="false" ht="14.25" hidden="false" customHeight="true" outlineLevel="0" collapsed="false"/>
    <row r="220" customFormat="false" ht="14.25" hidden="false" customHeight="true" outlineLevel="0" collapsed="false"/>
    <row r="221" customFormat="false" ht="14.25" hidden="false" customHeight="true" outlineLevel="0" collapsed="false"/>
    <row r="222" customFormat="false" ht="14.25" hidden="false" customHeight="true" outlineLevel="0" collapsed="false"/>
    <row r="223" customFormat="false" ht="14.25" hidden="false" customHeight="true" outlineLevel="0" collapsed="false"/>
    <row r="224" customFormat="false" ht="14.25" hidden="false" customHeight="true" outlineLevel="0" collapsed="false"/>
    <row r="225" customFormat="false" ht="14.25" hidden="false" customHeight="true" outlineLevel="0" collapsed="false"/>
    <row r="226" customFormat="false" ht="14.25" hidden="false" customHeight="true" outlineLevel="0" collapsed="false"/>
    <row r="227" customFormat="false" ht="14.25" hidden="false" customHeight="true" outlineLevel="0" collapsed="false"/>
    <row r="228" customFormat="false" ht="14.25" hidden="false" customHeight="true" outlineLevel="0" collapsed="false"/>
    <row r="229" customFormat="false" ht="14.25" hidden="false" customHeight="true" outlineLevel="0" collapsed="false"/>
    <row r="230" customFormat="false" ht="14.25" hidden="false" customHeight="true" outlineLevel="0" collapsed="false"/>
    <row r="231" customFormat="false" ht="14.25" hidden="false" customHeight="true" outlineLevel="0" collapsed="false"/>
    <row r="232" customFormat="false" ht="14.25" hidden="false" customHeight="true" outlineLevel="0" collapsed="false"/>
    <row r="233" customFormat="false" ht="14.25" hidden="false" customHeight="true" outlineLevel="0" collapsed="false"/>
    <row r="234" customFormat="false" ht="14.25" hidden="false" customHeight="true" outlineLevel="0" collapsed="false"/>
    <row r="235" customFormat="false" ht="14.25" hidden="false" customHeight="true" outlineLevel="0" collapsed="false"/>
    <row r="236" customFormat="false" ht="14.25" hidden="false" customHeight="true" outlineLevel="0" collapsed="false"/>
    <row r="237" customFormat="false" ht="14.25" hidden="false" customHeight="true" outlineLevel="0" collapsed="false"/>
    <row r="238" customFormat="false" ht="14.25" hidden="false" customHeight="true" outlineLevel="0" collapsed="false"/>
    <row r="239" customFormat="false" ht="14.25" hidden="false" customHeight="true" outlineLevel="0" collapsed="false"/>
    <row r="240" customFormat="false" ht="14.25" hidden="false" customHeight="true" outlineLevel="0" collapsed="false"/>
    <row r="241" customFormat="false" ht="14.25" hidden="false" customHeight="true" outlineLevel="0" collapsed="false"/>
    <row r="242" customFormat="false" ht="14.25" hidden="false" customHeight="true" outlineLevel="0" collapsed="false"/>
    <row r="243" customFormat="false" ht="14.25" hidden="false" customHeight="true" outlineLevel="0" collapsed="false"/>
    <row r="244" customFormat="false" ht="14.25" hidden="false" customHeight="true" outlineLevel="0" collapsed="false"/>
    <row r="245" customFormat="false" ht="14.25" hidden="false" customHeight="true" outlineLevel="0" collapsed="false"/>
    <row r="246" customFormat="false" ht="14.25" hidden="false" customHeight="true" outlineLevel="0" collapsed="false"/>
    <row r="247" customFormat="false" ht="14.25" hidden="false" customHeight="true" outlineLevel="0" collapsed="false"/>
    <row r="248" customFormat="false" ht="14.25" hidden="false" customHeight="true" outlineLevel="0" collapsed="false"/>
    <row r="249" customFormat="false" ht="14.25" hidden="false" customHeight="true" outlineLevel="0" collapsed="false"/>
    <row r="250" customFormat="false" ht="14.25" hidden="false" customHeight="true" outlineLevel="0" collapsed="false"/>
    <row r="251" customFormat="false" ht="14.25" hidden="false" customHeight="true" outlineLevel="0" collapsed="false"/>
    <row r="252" customFormat="false" ht="14.25" hidden="false" customHeight="true" outlineLevel="0" collapsed="false"/>
    <row r="253" customFormat="false" ht="14.25" hidden="false" customHeight="true" outlineLevel="0" collapsed="false"/>
    <row r="254" customFormat="false" ht="14.25" hidden="false" customHeight="true" outlineLevel="0" collapsed="false"/>
    <row r="255" customFormat="false" ht="14.25" hidden="false" customHeight="true" outlineLevel="0" collapsed="false"/>
    <row r="256" customFormat="false" ht="14.25" hidden="false" customHeight="true" outlineLevel="0" collapsed="false"/>
    <row r="257" customFormat="false" ht="14.25" hidden="false" customHeight="true" outlineLevel="0" collapsed="false"/>
    <row r="258" customFormat="false" ht="14.25" hidden="false" customHeight="true" outlineLevel="0" collapsed="false"/>
    <row r="259" customFormat="false" ht="14.25" hidden="false" customHeight="true" outlineLevel="0" collapsed="false"/>
    <row r="260" customFormat="false" ht="14.25" hidden="false" customHeight="true" outlineLevel="0" collapsed="false"/>
    <row r="261" customFormat="false" ht="14.25" hidden="false" customHeight="true" outlineLevel="0" collapsed="false"/>
    <row r="262" customFormat="false" ht="14.25" hidden="false" customHeight="true" outlineLevel="0" collapsed="false"/>
    <row r="263" customFormat="false" ht="14.25" hidden="false" customHeight="true" outlineLevel="0" collapsed="false"/>
    <row r="264" customFormat="false" ht="14.25" hidden="false" customHeight="true" outlineLevel="0" collapsed="false"/>
    <row r="265" customFormat="false" ht="14.25" hidden="false" customHeight="true" outlineLevel="0" collapsed="false"/>
    <row r="266" customFormat="false" ht="14.25" hidden="false" customHeight="true" outlineLevel="0" collapsed="false"/>
    <row r="267" customFormat="false" ht="14.25" hidden="false" customHeight="true" outlineLevel="0" collapsed="false"/>
    <row r="268" customFormat="false" ht="14.25" hidden="false" customHeight="true" outlineLevel="0" collapsed="false"/>
    <row r="269" customFormat="false" ht="14.25" hidden="false" customHeight="true" outlineLevel="0" collapsed="false"/>
    <row r="270" customFormat="false" ht="14.25" hidden="false" customHeight="true" outlineLevel="0" collapsed="false"/>
    <row r="271" customFormat="false" ht="14.25" hidden="false" customHeight="true" outlineLevel="0" collapsed="false"/>
    <row r="272" customFormat="false" ht="14.25" hidden="false" customHeight="true" outlineLevel="0" collapsed="false"/>
    <row r="273" customFormat="false" ht="14.25" hidden="false" customHeight="true" outlineLevel="0" collapsed="false"/>
    <row r="274" customFormat="false" ht="14.25" hidden="false" customHeight="true" outlineLevel="0" collapsed="false"/>
    <row r="275" customFormat="false" ht="14.25" hidden="false" customHeight="true" outlineLevel="0" collapsed="false"/>
    <row r="276" customFormat="false" ht="14.25" hidden="false" customHeight="true" outlineLevel="0" collapsed="false"/>
    <row r="277" customFormat="false" ht="14.25" hidden="false" customHeight="true" outlineLevel="0" collapsed="false"/>
    <row r="278" customFormat="false" ht="14.25" hidden="false" customHeight="true" outlineLevel="0" collapsed="false"/>
    <row r="279" customFormat="false" ht="14.25" hidden="false" customHeight="true" outlineLevel="0" collapsed="false"/>
    <row r="280" customFormat="false" ht="14.25" hidden="false" customHeight="true" outlineLevel="0" collapsed="false"/>
    <row r="281" customFormat="false" ht="14.25" hidden="false" customHeight="true" outlineLevel="0" collapsed="false"/>
    <row r="282" customFormat="false" ht="14.25" hidden="false" customHeight="true" outlineLevel="0" collapsed="false"/>
    <row r="283" customFormat="false" ht="14.25" hidden="false" customHeight="true" outlineLevel="0" collapsed="false"/>
    <row r="284" customFormat="false" ht="14.25" hidden="false" customHeight="true" outlineLevel="0" collapsed="false"/>
    <row r="285" customFormat="false" ht="14.25" hidden="false" customHeight="true" outlineLevel="0" collapsed="false"/>
    <row r="286" customFormat="false" ht="14.25" hidden="false" customHeight="true" outlineLevel="0" collapsed="false"/>
    <row r="287" customFormat="false" ht="14.25" hidden="false" customHeight="true" outlineLevel="0" collapsed="false"/>
    <row r="288" customFormat="false" ht="14.25" hidden="false" customHeight="true" outlineLevel="0" collapsed="false"/>
    <row r="289" customFormat="false" ht="14.25" hidden="false" customHeight="true" outlineLevel="0" collapsed="false"/>
    <row r="290" customFormat="false" ht="14.25" hidden="false" customHeight="true" outlineLevel="0" collapsed="false"/>
    <row r="291" customFormat="false" ht="14.25" hidden="false" customHeight="true" outlineLevel="0" collapsed="false"/>
    <row r="292" customFormat="false" ht="14.25" hidden="false" customHeight="true" outlineLevel="0" collapsed="false"/>
    <row r="293" customFormat="false" ht="14.25" hidden="false" customHeight="true" outlineLevel="0" collapsed="false"/>
    <row r="294" customFormat="false" ht="14.25" hidden="false" customHeight="true" outlineLevel="0" collapsed="false"/>
    <row r="295" customFormat="false" ht="14.25" hidden="false" customHeight="true" outlineLevel="0" collapsed="false"/>
    <row r="296" customFormat="false" ht="14.25" hidden="false" customHeight="true" outlineLevel="0" collapsed="false"/>
    <row r="297" customFormat="false" ht="14.25" hidden="false" customHeight="true" outlineLevel="0" collapsed="false"/>
    <row r="298" customFormat="false" ht="14.25" hidden="false" customHeight="true" outlineLevel="0" collapsed="false"/>
    <row r="299" customFormat="false" ht="14.25" hidden="false" customHeight="true" outlineLevel="0" collapsed="false"/>
    <row r="300" customFormat="false" ht="14.25" hidden="false" customHeight="true" outlineLevel="0" collapsed="false"/>
    <row r="301" customFormat="false" ht="14.25" hidden="false" customHeight="true" outlineLevel="0" collapsed="false"/>
    <row r="302" customFormat="false" ht="14.25" hidden="false" customHeight="true" outlineLevel="0" collapsed="false"/>
    <row r="303" customFormat="false" ht="14.25" hidden="false" customHeight="true" outlineLevel="0" collapsed="false"/>
    <row r="304" customFormat="false" ht="14.25" hidden="false" customHeight="true" outlineLevel="0" collapsed="false"/>
    <row r="305" customFormat="false" ht="14.25" hidden="false" customHeight="true" outlineLevel="0" collapsed="false"/>
    <row r="306" customFormat="false" ht="14.25" hidden="false" customHeight="true" outlineLevel="0" collapsed="false"/>
    <row r="307" customFormat="false" ht="14.25" hidden="false" customHeight="true" outlineLevel="0" collapsed="false"/>
    <row r="308" customFormat="false" ht="14.25" hidden="false" customHeight="true" outlineLevel="0" collapsed="false"/>
    <row r="309" customFormat="false" ht="14.25" hidden="false" customHeight="true" outlineLevel="0" collapsed="false"/>
    <row r="310" customFormat="false" ht="14.25" hidden="false" customHeight="true" outlineLevel="0" collapsed="false"/>
    <row r="311" customFormat="false" ht="14.25" hidden="false" customHeight="true" outlineLevel="0" collapsed="false"/>
    <row r="312" customFormat="false" ht="14.25" hidden="false" customHeight="true" outlineLevel="0" collapsed="false"/>
    <row r="313" customFormat="false" ht="14.25" hidden="false" customHeight="true" outlineLevel="0" collapsed="false"/>
    <row r="314" customFormat="false" ht="14.25" hidden="false" customHeight="true" outlineLevel="0" collapsed="false"/>
    <row r="315" customFormat="false" ht="14.25" hidden="false" customHeight="true" outlineLevel="0" collapsed="false"/>
    <row r="316" customFormat="false" ht="14.25" hidden="false" customHeight="true" outlineLevel="0" collapsed="false"/>
    <row r="317" customFormat="false" ht="14.25" hidden="false" customHeight="true" outlineLevel="0" collapsed="false"/>
    <row r="318" customFormat="false" ht="14.25" hidden="false" customHeight="true" outlineLevel="0" collapsed="false"/>
    <row r="319" customFormat="false" ht="14.25" hidden="false" customHeight="true" outlineLevel="0" collapsed="false"/>
    <row r="320" customFormat="false" ht="14.25" hidden="false" customHeight="true" outlineLevel="0" collapsed="false"/>
    <row r="321" customFormat="false" ht="14.25" hidden="false" customHeight="true" outlineLevel="0" collapsed="false"/>
    <row r="322" customFormat="false" ht="14.25" hidden="false" customHeight="true" outlineLevel="0" collapsed="false"/>
    <row r="323" customFormat="false" ht="14.25" hidden="false" customHeight="true" outlineLevel="0" collapsed="false"/>
    <row r="324" customFormat="false" ht="14.25" hidden="false" customHeight="true" outlineLevel="0" collapsed="false"/>
    <row r="325" customFormat="false" ht="14.25" hidden="false" customHeight="true" outlineLevel="0" collapsed="false"/>
    <row r="326" customFormat="false" ht="14.25" hidden="false" customHeight="true" outlineLevel="0" collapsed="false"/>
    <row r="327" customFormat="false" ht="14.25" hidden="false" customHeight="true" outlineLevel="0" collapsed="false"/>
    <row r="328" customFormat="false" ht="14.25" hidden="false" customHeight="true" outlineLevel="0" collapsed="false"/>
    <row r="329" customFormat="false" ht="14.25" hidden="false" customHeight="true" outlineLevel="0" collapsed="false"/>
    <row r="330" customFormat="false" ht="14.25" hidden="false" customHeight="true" outlineLevel="0" collapsed="false"/>
    <row r="331" customFormat="false" ht="14.25" hidden="false" customHeight="true" outlineLevel="0" collapsed="false"/>
    <row r="332" customFormat="false" ht="14.25" hidden="false" customHeight="true" outlineLevel="0" collapsed="false"/>
    <row r="333" customFormat="false" ht="14.25" hidden="false" customHeight="true" outlineLevel="0" collapsed="false"/>
    <row r="334" customFormat="false" ht="14.25" hidden="false" customHeight="true" outlineLevel="0" collapsed="false"/>
    <row r="335" customFormat="false" ht="14.25" hidden="false" customHeight="true" outlineLevel="0" collapsed="false"/>
    <row r="336" customFormat="false" ht="14.25" hidden="false" customHeight="true" outlineLevel="0" collapsed="false"/>
    <row r="337" customFormat="false" ht="14.25" hidden="false" customHeight="true" outlineLevel="0" collapsed="false"/>
    <row r="338" customFormat="false" ht="14.25" hidden="false" customHeight="true" outlineLevel="0" collapsed="false"/>
    <row r="339" customFormat="false" ht="14.25" hidden="false" customHeight="true" outlineLevel="0" collapsed="false"/>
    <row r="340" customFormat="false" ht="14.25" hidden="false" customHeight="true" outlineLevel="0" collapsed="false"/>
    <row r="341" customFormat="false" ht="14.25" hidden="false" customHeight="true" outlineLevel="0" collapsed="false"/>
    <row r="342" customFormat="false" ht="14.25" hidden="false" customHeight="true" outlineLevel="0" collapsed="false"/>
    <row r="343" customFormat="false" ht="14.25" hidden="false" customHeight="true" outlineLevel="0" collapsed="false"/>
    <row r="344" customFormat="false" ht="14.25" hidden="false" customHeight="true" outlineLevel="0" collapsed="false"/>
    <row r="345" customFormat="false" ht="14.25" hidden="false" customHeight="true" outlineLevel="0" collapsed="false"/>
    <row r="346" customFormat="false" ht="14.25" hidden="false" customHeight="true" outlineLevel="0" collapsed="false"/>
    <row r="347" customFormat="false" ht="14.25" hidden="false" customHeight="true" outlineLevel="0" collapsed="false"/>
    <row r="348" customFormat="false" ht="14.25" hidden="false" customHeight="true" outlineLevel="0" collapsed="false"/>
    <row r="349" customFormat="false" ht="14.25" hidden="false" customHeight="true" outlineLevel="0" collapsed="false"/>
    <row r="350" customFormat="false" ht="14.25" hidden="false" customHeight="true" outlineLevel="0" collapsed="false"/>
    <row r="351" customFormat="false" ht="14.25" hidden="false" customHeight="true" outlineLevel="0" collapsed="false"/>
    <row r="352" customFormat="false" ht="14.25" hidden="false" customHeight="true" outlineLevel="0" collapsed="false"/>
    <row r="353" customFormat="false" ht="14.25" hidden="false" customHeight="true" outlineLevel="0" collapsed="false"/>
    <row r="354" customFormat="false" ht="14.25" hidden="false" customHeight="true" outlineLevel="0" collapsed="false"/>
    <row r="355" customFormat="false" ht="14.25" hidden="false" customHeight="true" outlineLevel="0" collapsed="false"/>
    <row r="356" customFormat="false" ht="14.25" hidden="false" customHeight="true" outlineLevel="0" collapsed="false"/>
    <row r="357" customFormat="false" ht="14.25" hidden="false" customHeight="true" outlineLevel="0" collapsed="false"/>
    <row r="358" customFormat="false" ht="14.25" hidden="false" customHeight="true" outlineLevel="0" collapsed="false"/>
    <row r="359" customFormat="false" ht="14.25" hidden="false" customHeight="true" outlineLevel="0" collapsed="false"/>
    <row r="360" customFormat="false" ht="14.25" hidden="false" customHeight="true" outlineLevel="0" collapsed="false"/>
    <row r="361" customFormat="false" ht="14.25" hidden="false" customHeight="true" outlineLevel="0" collapsed="false"/>
    <row r="362" customFormat="false" ht="14.25" hidden="false" customHeight="true" outlineLevel="0" collapsed="false"/>
    <row r="363" customFormat="false" ht="14.25" hidden="false" customHeight="true" outlineLevel="0" collapsed="false"/>
    <row r="364" customFormat="false" ht="14.25" hidden="false" customHeight="true" outlineLevel="0" collapsed="false"/>
    <row r="365" customFormat="false" ht="14.25" hidden="false" customHeight="true" outlineLevel="0" collapsed="false"/>
    <row r="366" customFormat="false" ht="14.25" hidden="false" customHeight="true" outlineLevel="0" collapsed="false"/>
    <row r="367" customFormat="false" ht="14.25" hidden="false" customHeight="true" outlineLevel="0" collapsed="false"/>
    <row r="368" customFormat="false" ht="14.25" hidden="false" customHeight="true" outlineLevel="0" collapsed="false"/>
    <row r="369" customFormat="false" ht="14.25" hidden="false" customHeight="true" outlineLevel="0" collapsed="false"/>
    <row r="370" customFormat="false" ht="14.25" hidden="false" customHeight="true" outlineLevel="0" collapsed="false"/>
    <row r="371" customFormat="false" ht="14.25" hidden="false" customHeight="true" outlineLevel="0" collapsed="false"/>
    <row r="372" customFormat="false" ht="14.25" hidden="false" customHeight="true" outlineLevel="0" collapsed="false"/>
    <row r="373" customFormat="false" ht="14.25" hidden="false" customHeight="true" outlineLevel="0" collapsed="false"/>
    <row r="374" customFormat="false" ht="14.25" hidden="false" customHeight="true" outlineLevel="0" collapsed="false"/>
    <row r="375" customFormat="false" ht="14.25" hidden="false" customHeight="true" outlineLevel="0" collapsed="false"/>
    <row r="376" customFormat="false" ht="14.25" hidden="false" customHeight="true" outlineLevel="0" collapsed="false"/>
    <row r="377" customFormat="false" ht="14.25" hidden="false" customHeight="true" outlineLevel="0" collapsed="false"/>
    <row r="378" customFormat="false" ht="14.25" hidden="false" customHeight="true" outlineLevel="0" collapsed="false"/>
    <row r="379" customFormat="false" ht="14.25" hidden="false" customHeight="true" outlineLevel="0" collapsed="false"/>
    <row r="380" customFormat="false" ht="14.25" hidden="false" customHeight="true" outlineLevel="0" collapsed="false"/>
    <row r="381" customFormat="false" ht="14.25" hidden="false" customHeight="true" outlineLevel="0" collapsed="false"/>
    <row r="382" customFormat="false" ht="14.25" hidden="false" customHeight="true" outlineLevel="0" collapsed="false"/>
    <row r="383" customFormat="false" ht="14.25" hidden="false" customHeight="true" outlineLevel="0" collapsed="false"/>
    <row r="384" customFormat="false" ht="14.25" hidden="false" customHeight="true" outlineLevel="0" collapsed="false"/>
    <row r="385" customFormat="false" ht="14.25" hidden="false" customHeight="true" outlineLevel="0" collapsed="false"/>
    <row r="386" customFormat="false" ht="14.25" hidden="false" customHeight="true" outlineLevel="0" collapsed="false"/>
    <row r="387" customFormat="false" ht="14.25" hidden="false" customHeight="true" outlineLevel="0" collapsed="false"/>
    <row r="388" customFormat="false" ht="14.25" hidden="false" customHeight="true" outlineLevel="0" collapsed="false"/>
    <row r="389" customFormat="false" ht="14.25" hidden="false" customHeight="true" outlineLevel="0" collapsed="false"/>
    <row r="390" customFormat="false" ht="14.25" hidden="false" customHeight="true" outlineLevel="0" collapsed="false"/>
    <row r="391" customFormat="false" ht="14.25" hidden="false" customHeight="true" outlineLevel="0" collapsed="false"/>
    <row r="392" customFormat="false" ht="14.25" hidden="false" customHeight="true" outlineLevel="0" collapsed="false"/>
    <row r="393" customFormat="false" ht="14.25" hidden="false" customHeight="true" outlineLevel="0" collapsed="false"/>
    <row r="394" customFormat="false" ht="14.25" hidden="false" customHeight="true" outlineLevel="0" collapsed="false"/>
    <row r="395" customFormat="false" ht="14.25" hidden="false" customHeight="true" outlineLevel="0" collapsed="false"/>
    <row r="396" customFormat="false" ht="14.25" hidden="false" customHeight="true" outlineLevel="0" collapsed="false"/>
    <row r="397" customFormat="false" ht="14.25" hidden="false" customHeight="true" outlineLevel="0" collapsed="false"/>
    <row r="398" customFormat="false" ht="14.25" hidden="false" customHeight="true" outlineLevel="0" collapsed="false"/>
    <row r="399" customFormat="false" ht="14.25" hidden="false" customHeight="true" outlineLevel="0" collapsed="false"/>
    <row r="400" customFormat="false" ht="14.25" hidden="false" customHeight="true" outlineLevel="0" collapsed="false"/>
    <row r="401" customFormat="false" ht="14.25" hidden="false" customHeight="true" outlineLevel="0" collapsed="false"/>
    <row r="402" customFormat="false" ht="14.25" hidden="false" customHeight="true" outlineLevel="0" collapsed="false"/>
    <row r="403" customFormat="false" ht="14.25" hidden="false" customHeight="true" outlineLevel="0" collapsed="false"/>
    <row r="404" customFormat="false" ht="14.25" hidden="false" customHeight="true" outlineLevel="0" collapsed="false"/>
    <row r="405" customFormat="false" ht="14.25" hidden="false" customHeight="true" outlineLevel="0" collapsed="false"/>
    <row r="406" customFormat="false" ht="14.25" hidden="false" customHeight="true" outlineLevel="0" collapsed="false"/>
    <row r="407" customFormat="false" ht="14.25" hidden="false" customHeight="true" outlineLevel="0" collapsed="false"/>
    <row r="408" customFormat="false" ht="14.25" hidden="false" customHeight="true" outlineLevel="0" collapsed="false"/>
    <row r="409" customFormat="false" ht="14.25" hidden="false" customHeight="true" outlineLevel="0" collapsed="false"/>
    <row r="410" customFormat="false" ht="14.25" hidden="false" customHeight="true" outlineLevel="0" collapsed="false"/>
    <row r="411" customFormat="false" ht="14.25" hidden="false" customHeight="true" outlineLevel="0" collapsed="false"/>
    <row r="412" customFormat="false" ht="14.25" hidden="false" customHeight="true" outlineLevel="0" collapsed="false"/>
    <row r="413" customFormat="false" ht="14.25" hidden="false" customHeight="true" outlineLevel="0" collapsed="false"/>
    <row r="414" customFormat="false" ht="14.25" hidden="false" customHeight="true" outlineLevel="0" collapsed="false"/>
    <row r="415" customFormat="false" ht="14.25" hidden="false" customHeight="true" outlineLevel="0" collapsed="false"/>
    <row r="416" customFormat="false" ht="14.25" hidden="false" customHeight="true" outlineLevel="0" collapsed="false"/>
    <row r="417" customFormat="false" ht="14.25" hidden="false" customHeight="true" outlineLevel="0" collapsed="false"/>
    <row r="418" customFormat="false" ht="14.25" hidden="false" customHeight="true" outlineLevel="0" collapsed="false"/>
    <row r="419" customFormat="false" ht="14.25" hidden="false" customHeight="true" outlineLevel="0" collapsed="false"/>
    <row r="420" customFormat="false" ht="14.25" hidden="false" customHeight="true" outlineLevel="0" collapsed="false"/>
    <row r="421" customFormat="false" ht="14.25" hidden="false" customHeight="true" outlineLevel="0" collapsed="false"/>
    <row r="422" customFormat="false" ht="14.25" hidden="false" customHeight="true" outlineLevel="0" collapsed="false"/>
    <row r="423" customFormat="false" ht="14.25" hidden="false" customHeight="true" outlineLevel="0" collapsed="false"/>
    <row r="424" customFormat="false" ht="14.25" hidden="false" customHeight="true" outlineLevel="0" collapsed="false"/>
    <row r="425" customFormat="false" ht="14.25" hidden="false" customHeight="true" outlineLevel="0" collapsed="false"/>
    <row r="426" customFormat="false" ht="14.25" hidden="false" customHeight="true" outlineLevel="0" collapsed="false"/>
    <row r="427" customFormat="false" ht="14.25" hidden="false" customHeight="true" outlineLevel="0" collapsed="false"/>
    <row r="428" customFormat="false" ht="14.25" hidden="false" customHeight="true" outlineLevel="0" collapsed="false"/>
    <row r="429" customFormat="false" ht="14.25" hidden="false" customHeight="true" outlineLevel="0" collapsed="false"/>
    <row r="430" customFormat="false" ht="14.25" hidden="false" customHeight="true" outlineLevel="0" collapsed="false"/>
    <row r="431" customFormat="false" ht="14.25" hidden="false" customHeight="true" outlineLevel="0" collapsed="false"/>
    <row r="432" customFormat="false" ht="14.25" hidden="false" customHeight="true" outlineLevel="0" collapsed="false"/>
    <row r="433" customFormat="false" ht="14.25" hidden="false" customHeight="true" outlineLevel="0" collapsed="false"/>
    <row r="434" customFormat="false" ht="14.25" hidden="false" customHeight="true" outlineLevel="0" collapsed="false"/>
    <row r="435" customFormat="false" ht="14.25" hidden="false" customHeight="true" outlineLevel="0" collapsed="false"/>
    <row r="436" customFormat="false" ht="14.25" hidden="false" customHeight="true" outlineLevel="0" collapsed="false"/>
    <row r="437" customFormat="false" ht="14.25" hidden="false" customHeight="true" outlineLevel="0" collapsed="false"/>
    <row r="438" customFormat="false" ht="14.25" hidden="false" customHeight="true" outlineLevel="0" collapsed="false"/>
    <row r="439" customFormat="false" ht="14.25" hidden="false" customHeight="true" outlineLevel="0" collapsed="false"/>
    <row r="440" customFormat="false" ht="14.25" hidden="false" customHeight="true" outlineLevel="0" collapsed="false"/>
    <row r="441" customFormat="false" ht="14.25" hidden="false" customHeight="true" outlineLevel="0" collapsed="false"/>
    <row r="442" customFormat="false" ht="14.25" hidden="false" customHeight="true" outlineLevel="0" collapsed="false"/>
    <row r="443" customFormat="false" ht="14.25" hidden="false" customHeight="true" outlineLevel="0" collapsed="false"/>
    <row r="444" customFormat="false" ht="14.25" hidden="false" customHeight="true" outlineLevel="0" collapsed="false"/>
    <row r="445" customFormat="false" ht="14.25" hidden="false" customHeight="true" outlineLevel="0" collapsed="false"/>
    <row r="446" customFormat="false" ht="14.25" hidden="false" customHeight="true" outlineLevel="0" collapsed="false"/>
    <row r="447" customFormat="false" ht="14.25" hidden="false" customHeight="true" outlineLevel="0" collapsed="false"/>
    <row r="448" customFormat="false" ht="14.25" hidden="false" customHeight="true" outlineLevel="0" collapsed="false"/>
    <row r="449" customFormat="false" ht="14.25" hidden="false" customHeight="true" outlineLevel="0" collapsed="false"/>
    <row r="450" customFormat="false" ht="14.25" hidden="false" customHeight="true" outlineLevel="0" collapsed="false"/>
    <row r="451" customFormat="false" ht="14.25" hidden="false" customHeight="true" outlineLevel="0" collapsed="false"/>
    <row r="452" customFormat="false" ht="14.25" hidden="false" customHeight="true" outlineLevel="0" collapsed="false"/>
    <row r="453" customFormat="false" ht="14.25" hidden="false" customHeight="true" outlineLevel="0" collapsed="false"/>
    <row r="454" customFormat="false" ht="14.25" hidden="false" customHeight="true" outlineLevel="0" collapsed="false"/>
    <row r="455" customFormat="false" ht="14.25" hidden="false" customHeight="true" outlineLevel="0" collapsed="false"/>
    <row r="456" customFormat="false" ht="14.25" hidden="false" customHeight="true" outlineLevel="0" collapsed="false"/>
    <row r="457" customFormat="false" ht="14.25" hidden="false" customHeight="true" outlineLevel="0" collapsed="false"/>
    <row r="458" customFormat="false" ht="14.25" hidden="false" customHeight="true" outlineLevel="0" collapsed="false"/>
    <row r="459" customFormat="false" ht="14.25" hidden="false" customHeight="true" outlineLevel="0" collapsed="false"/>
    <row r="460" customFormat="false" ht="14.25" hidden="false" customHeight="true" outlineLevel="0" collapsed="false"/>
    <row r="461" customFormat="false" ht="14.25" hidden="false" customHeight="true" outlineLevel="0" collapsed="false"/>
    <row r="462" customFormat="false" ht="14.25" hidden="false" customHeight="true" outlineLevel="0" collapsed="false"/>
    <row r="463" customFormat="false" ht="14.25" hidden="false" customHeight="true" outlineLevel="0" collapsed="false"/>
    <row r="464" customFormat="false" ht="14.25" hidden="false" customHeight="true" outlineLevel="0" collapsed="false"/>
    <row r="465" customFormat="false" ht="14.25" hidden="false" customHeight="true" outlineLevel="0" collapsed="false"/>
    <row r="466" customFormat="false" ht="14.25" hidden="false" customHeight="true" outlineLevel="0" collapsed="false"/>
    <row r="467" customFormat="false" ht="14.25" hidden="false" customHeight="true" outlineLevel="0" collapsed="false"/>
    <row r="468" customFormat="false" ht="14.25" hidden="false" customHeight="true" outlineLevel="0" collapsed="false"/>
    <row r="469" customFormat="false" ht="14.25" hidden="false" customHeight="true" outlineLevel="0" collapsed="false"/>
    <row r="470" customFormat="false" ht="14.25" hidden="false" customHeight="true" outlineLevel="0" collapsed="false"/>
    <row r="471" customFormat="false" ht="14.25" hidden="false" customHeight="true" outlineLevel="0" collapsed="false"/>
    <row r="472" customFormat="false" ht="14.25" hidden="false" customHeight="true" outlineLevel="0" collapsed="false"/>
    <row r="473" customFormat="false" ht="14.25" hidden="false" customHeight="true" outlineLevel="0" collapsed="false"/>
    <row r="474" customFormat="false" ht="14.25" hidden="false" customHeight="true" outlineLevel="0" collapsed="false"/>
    <row r="475" customFormat="false" ht="14.25" hidden="false" customHeight="true" outlineLevel="0" collapsed="false"/>
    <row r="476" customFormat="false" ht="14.25" hidden="false" customHeight="true" outlineLevel="0" collapsed="false"/>
    <row r="477" customFormat="false" ht="14.25" hidden="false" customHeight="true" outlineLevel="0" collapsed="false"/>
    <row r="478" customFormat="false" ht="14.25" hidden="false" customHeight="true" outlineLevel="0" collapsed="false"/>
    <row r="479" customFormat="false" ht="14.25" hidden="false" customHeight="true" outlineLevel="0" collapsed="false"/>
    <row r="480" customFormat="false" ht="14.25" hidden="false" customHeight="true" outlineLevel="0" collapsed="false"/>
    <row r="481" customFormat="false" ht="14.25" hidden="false" customHeight="true" outlineLevel="0" collapsed="false"/>
    <row r="482" customFormat="false" ht="14.25" hidden="false" customHeight="true" outlineLevel="0" collapsed="false"/>
    <row r="483" customFormat="false" ht="14.25" hidden="false" customHeight="true" outlineLevel="0" collapsed="false"/>
    <row r="484" customFormat="false" ht="14.25" hidden="false" customHeight="true" outlineLevel="0" collapsed="false"/>
    <row r="485" customFormat="false" ht="14.25" hidden="false" customHeight="true" outlineLevel="0" collapsed="false"/>
    <row r="486" customFormat="false" ht="14.25" hidden="false" customHeight="true" outlineLevel="0" collapsed="false"/>
    <row r="487" customFormat="false" ht="14.25" hidden="false" customHeight="true" outlineLevel="0" collapsed="false"/>
    <row r="488" customFormat="false" ht="14.25" hidden="false" customHeight="true" outlineLevel="0" collapsed="false"/>
    <row r="489" customFormat="false" ht="14.25" hidden="false" customHeight="true" outlineLevel="0" collapsed="false"/>
    <row r="490" customFormat="false" ht="14.25" hidden="false" customHeight="true" outlineLevel="0" collapsed="false"/>
    <row r="491" customFormat="false" ht="14.25" hidden="false" customHeight="true" outlineLevel="0" collapsed="false"/>
    <row r="492" customFormat="false" ht="14.25" hidden="false" customHeight="true" outlineLevel="0" collapsed="false"/>
    <row r="493" customFormat="false" ht="14.25" hidden="false" customHeight="true" outlineLevel="0" collapsed="false"/>
    <row r="494" customFormat="false" ht="14.25" hidden="false" customHeight="true" outlineLevel="0" collapsed="false"/>
    <row r="495" customFormat="false" ht="14.25" hidden="false" customHeight="true" outlineLevel="0" collapsed="false"/>
    <row r="496" customFormat="false" ht="14.25" hidden="false" customHeight="true" outlineLevel="0" collapsed="false"/>
    <row r="497" customFormat="false" ht="14.25" hidden="false" customHeight="true" outlineLevel="0" collapsed="false"/>
    <row r="498" customFormat="false" ht="14.25" hidden="false" customHeight="true" outlineLevel="0" collapsed="false"/>
    <row r="499" customFormat="false" ht="14.25" hidden="false" customHeight="true" outlineLevel="0" collapsed="false"/>
    <row r="500" customFormat="false" ht="14.25" hidden="false" customHeight="true" outlineLevel="0" collapsed="false"/>
    <row r="501" customFormat="false" ht="14.25" hidden="false" customHeight="true" outlineLevel="0" collapsed="false"/>
    <row r="502" customFormat="false" ht="14.25" hidden="false" customHeight="true" outlineLevel="0" collapsed="false"/>
    <row r="503" customFormat="false" ht="14.25" hidden="false" customHeight="true" outlineLevel="0" collapsed="false"/>
    <row r="504" customFormat="false" ht="14.25" hidden="false" customHeight="true" outlineLevel="0" collapsed="false"/>
    <row r="505" customFormat="false" ht="14.25" hidden="false" customHeight="true" outlineLevel="0" collapsed="false"/>
    <row r="506" customFormat="false" ht="14.25" hidden="false" customHeight="true" outlineLevel="0" collapsed="false"/>
    <row r="507" customFormat="false" ht="14.25" hidden="false" customHeight="true" outlineLevel="0" collapsed="false"/>
    <row r="508" customFormat="false" ht="14.25" hidden="false" customHeight="true" outlineLevel="0" collapsed="false"/>
    <row r="509" customFormat="false" ht="14.25" hidden="false" customHeight="true" outlineLevel="0" collapsed="false"/>
    <row r="510" customFormat="false" ht="14.25" hidden="false" customHeight="true" outlineLevel="0" collapsed="false"/>
    <row r="511" customFormat="false" ht="14.25" hidden="false" customHeight="true" outlineLevel="0" collapsed="false"/>
    <row r="512" customFormat="false" ht="14.25" hidden="false" customHeight="true" outlineLevel="0" collapsed="false"/>
    <row r="513" customFormat="false" ht="14.25" hidden="false" customHeight="true" outlineLevel="0" collapsed="false"/>
    <row r="514" customFormat="false" ht="14.25" hidden="false" customHeight="true" outlineLevel="0" collapsed="false"/>
    <row r="515" customFormat="false" ht="14.25" hidden="false" customHeight="true" outlineLevel="0" collapsed="false"/>
    <row r="516" customFormat="false" ht="14.25" hidden="false" customHeight="true" outlineLevel="0" collapsed="false"/>
    <row r="517" customFormat="false" ht="14.25" hidden="false" customHeight="true" outlineLevel="0" collapsed="false"/>
    <row r="518" customFormat="false" ht="14.25" hidden="false" customHeight="true" outlineLevel="0" collapsed="false"/>
    <row r="519" customFormat="false" ht="14.25" hidden="false" customHeight="true" outlineLevel="0" collapsed="false"/>
    <row r="520" customFormat="false" ht="14.25" hidden="false" customHeight="true" outlineLevel="0" collapsed="false"/>
    <row r="521" customFormat="false" ht="14.25" hidden="false" customHeight="true" outlineLevel="0" collapsed="false"/>
    <row r="522" customFormat="false" ht="14.25" hidden="false" customHeight="true" outlineLevel="0" collapsed="false"/>
    <row r="523" customFormat="false" ht="14.25" hidden="false" customHeight="true" outlineLevel="0" collapsed="false"/>
    <row r="524" customFormat="false" ht="14.25" hidden="false" customHeight="true" outlineLevel="0" collapsed="false"/>
    <row r="525" customFormat="false" ht="14.25" hidden="false" customHeight="true" outlineLevel="0" collapsed="false"/>
    <row r="526" customFormat="false" ht="14.25" hidden="false" customHeight="true" outlineLevel="0" collapsed="false"/>
    <row r="527" customFormat="false" ht="14.25" hidden="false" customHeight="true" outlineLevel="0" collapsed="false"/>
    <row r="528" customFormat="false" ht="14.25" hidden="false" customHeight="true" outlineLevel="0" collapsed="false"/>
    <row r="529" customFormat="false" ht="14.25" hidden="false" customHeight="true" outlineLevel="0" collapsed="false"/>
    <row r="530" customFormat="false" ht="14.25" hidden="false" customHeight="true" outlineLevel="0" collapsed="false"/>
    <row r="531" customFormat="false" ht="14.25" hidden="false" customHeight="true" outlineLevel="0" collapsed="false"/>
    <row r="532" customFormat="false" ht="14.25" hidden="false" customHeight="true" outlineLevel="0" collapsed="false"/>
    <row r="533" customFormat="false" ht="14.25" hidden="false" customHeight="true" outlineLevel="0" collapsed="false"/>
    <row r="534" customFormat="false" ht="14.25" hidden="false" customHeight="true" outlineLevel="0" collapsed="false"/>
    <row r="535" customFormat="false" ht="14.25" hidden="false" customHeight="true" outlineLevel="0" collapsed="false"/>
    <row r="536" customFormat="false" ht="14.25" hidden="false" customHeight="true" outlineLevel="0" collapsed="false"/>
    <row r="537" customFormat="false" ht="14.25" hidden="false" customHeight="true" outlineLevel="0" collapsed="false"/>
    <row r="538" customFormat="false" ht="14.25" hidden="false" customHeight="true" outlineLevel="0" collapsed="false"/>
    <row r="539" customFormat="false" ht="14.25" hidden="false" customHeight="true" outlineLevel="0" collapsed="false"/>
    <row r="540" customFormat="false" ht="14.25" hidden="false" customHeight="true" outlineLevel="0" collapsed="false"/>
    <row r="541" customFormat="false" ht="14.25" hidden="false" customHeight="true" outlineLevel="0" collapsed="false"/>
    <row r="542" customFormat="false" ht="14.25" hidden="false" customHeight="true" outlineLevel="0" collapsed="false"/>
    <row r="543" customFormat="false" ht="14.25" hidden="false" customHeight="true" outlineLevel="0" collapsed="false"/>
    <row r="544" customFormat="false" ht="14.25" hidden="false" customHeight="true" outlineLevel="0" collapsed="false"/>
    <row r="545" customFormat="false" ht="14.25" hidden="false" customHeight="true" outlineLevel="0" collapsed="false"/>
    <row r="546" customFormat="false" ht="14.25" hidden="false" customHeight="true" outlineLevel="0" collapsed="false"/>
    <row r="547" customFormat="false" ht="14.25" hidden="false" customHeight="true" outlineLevel="0" collapsed="false"/>
    <row r="548" customFormat="false" ht="14.25" hidden="false" customHeight="true" outlineLevel="0" collapsed="false"/>
    <row r="549" customFormat="false" ht="14.25" hidden="false" customHeight="true" outlineLevel="0" collapsed="false"/>
    <row r="550" customFormat="false" ht="14.25" hidden="false" customHeight="true" outlineLevel="0" collapsed="false"/>
    <row r="551" customFormat="false" ht="14.25" hidden="false" customHeight="true" outlineLevel="0" collapsed="false"/>
    <row r="552" customFormat="false" ht="14.25" hidden="false" customHeight="true" outlineLevel="0" collapsed="false"/>
    <row r="553" customFormat="false" ht="14.25" hidden="false" customHeight="true" outlineLevel="0" collapsed="false"/>
    <row r="554" customFormat="false" ht="14.25" hidden="false" customHeight="true" outlineLevel="0" collapsed="false"/>
    <row r="555" customFormat="false" ht="14.25" hidden="false" customHeight="true" outlineLevel="0" collapsed="false"/>
    <row r="556" customFormat="false" ht="14.25" hidden="false" customHeight="true" outlineLevel="0" collapsed="false"/>
    <row r="557" customFormat="false" ht="14.25" hidden="false" customHeight="true" outlineLevel="0" collapsed="false"/>
    <row r="558" customFormat="false" ht="14.25" hidden="false" customHeight="true" outlineLevel="0" collapsed="false"/>
    <row r="559" customFormat="false" ht="14.25" hidden="false" customHeight="true" outlineLevel="0" collapsed="false"/>
    <row r="560" customFormat="false" ht="14.25" hidden="false" customHeight="true" outlineLevel="0" collapsed="false"/>
    <row r="561" customFormat="false" ht="14.25" hidden="false" customHeight="true" outlineLevel="0" collapsed="false"/>
    <row r="562" customFormat="false" ht="14.25" hidden="false" customHeight="true" outlineLevel="0" collapsed="false"/>
    <row r="563" customFormat="false" ht="14.25" hidden="false" customHeight="true" outlineLevel="0" collapsed="false"/>
    <row r="564" customFormat="false" ht="14.25" hidden="false" customHeight="true" outlineLevel="0" collapsed="false"/>
    <row r="565" customFormat="false" ht="14.25" hidden="false" customHeight="true" outlineLevel="0" collapsed="false"/>
    <row r="566" customFormat="false" ht="14.25" hidden="false" customHeight="true" outlineLevel="0" collapsed="false"/>
    <row r="567" customFormat="false" ht="14.25" hidden="false" customHeight="true" outlineLevel="0" collapsed="false"/>
    <row r="568" customFormat="false" ht="14.25" hidden="false" customHeight="true" outlineLevel="0" collapsed="false"/>
    <row r="569" customFormat="false" ht="14.25" hidden="false" customHeight="true" outlineLevel="0" collapsed="false"/>
    <row r="570" customFormat="false" ht="14.25" hidden="false" customHeight="true" outlineLevel="0" collapsed="false"/>
    <row r="571" customFormat="false" ht="14.25" hidden="false" customHeight="true" outlineLevel="0" collapsed="false"/>
    <row r="572" customFormat="false" ht="14.25" hidden="false" customHeight="true" outlineLevel="0" collapsed="false"/>
    <row r="573" customFormat="false" ht="14.25" hidden="false" customHeight="true" outlineLevel="0" collapsed="false"/>
    <row r="574" customFormat="false" ht="14.25" hidden="false" customHeight="true" outlineLevel="0" collapsed="false"/>
    <row r="575" customFormat="false" ht="14.25" hidden="false" customHeight="true" outlineLevel="0" collapsed="false"/>
    <row r="576" customFormat="false" ht="14.25" hidden="false" customHeight="true" outlineLevel="0" collapsed="false"/>
    <row r="577" customFormat="false" ht="14.25" hidden="false" customHeight="true" outlineLevel="0" collapsed="false"/>
    <row r="578" customFormat="false" ht="14.25" hidden="false" customHeight="true" outlineLevel="0" collapsed="false"/>
    <row r="579" customFormat="false" ht="14.25" hidden="false" customHeight="true" outlineLevel="0" collapsed="false"/>
    <row r="580" customFormat="false" ht="14.25" hidden="false" customHeight="true" outlineLevel="0" collapsed="false"/>
    <row r="581" customFormat="false" ht="14.25" hidden="false" customHeight="true" outlineLevel="0" collapsed="false"/>
    <row r="582" customFormat="false" ht="14.25" hidden="false" customHeight="true" outlineLevel="0" collapsed="false"/>
    <row r="583" customFormat="false" ht="14.25" hidden="false" customHeight="true" outlineLevel="0" collapsed="false"/>
    <row r="584" customFormat="false" ht="14.25" hidden="false" customHeight="true" outlineLevel="0" collapsed="false"/>
    <row r="585" customFormat="false" ht="14.25" hidden="false" customHeight="true" outlineLevel="0" collapsed="false"/>
    <row r="586" customFormat="false" ht="14.25" hidden="false" customHeight="true" outlineLevel="0" collapsed="false"/>
    <row r="587" customFormat="false" ht="14.25" hidden="false" customHeight="true" outlineLevel="0" collapsed="false"/>
    <row r="588" customFormat="false" ht="14.25" hidden="false" customHeight="true" outlineLevel="0" collapsed="false"/>
    <row r="589" customFormat="false" ht="14.25" hidden="false" customHeight="true" outlineLevel="0" collapsed="false"/>
    <row r="590" customFormat="false" ht="14.25" hidden="false" customHeight="true" outlineLevel="0" collapsed="false"/>
    <row r="591" customFormat="false" ht="14.25" hidden="false" customHeight="true" outlineLevel="0" collapsed="false"/>
    <row r="592" customFormat="false" ht="14.25" hidden="false" customHeight="true" outlineLevel="0" collapsed="false"/>
    <row r="593" customFormat="false" ht="14.25" hidden="false" customHeight="true" outlineLevel="0" collapsed="false"/>
    <row r="594" customFormat="false" ht="14.25" hidden="false" customHeight="true" outlineLevel="0" collapsed="false"/>
    <row r="595" customFormat="false" ht="14.25" hidden="false" customHeight="true" outlineLevel="0" collapsed="false"/>
    <row r="596" customFormat="false" ht="14.25" hidden="false" customHeight="true" outlineLevel="0" collapsed="false"/>
    <row r="597" customFormat="false" ht="14.25" hidden="false" customHeight="true" outlineLevel="0" collapsed="false"/>
    <row r="598" customFormat="false" ht="14.25" hidden="false" customHeight="true" outlineLevel="0" collapsed="false"/>
    <row r="599" customFormat="false" ht="14.25" hidden="false" customHeight="true" outlineLevel="0" collapsed="false"/>
    <row r="600" customFormat="false" ht="14.25" hidden="false" customHeight="true" outlineLevel="0" collapsed="false"/>
    <row r="601" customFormat="false" ht="14.25" hidden="false" customHeight="true" outlineLevel="0" collapsed="false"/>
    <row r="602" customFormat="false" ht="14.25" hidden="false" customHeight="true" outlineLevel="0" collapsed="false"/>
    <row r="603" customFormat="false" ht="14.25" hidden="false" customHeight="true" outlineLevel="0" collapsed="false"/>
    <row r="604" customFormat="false" ht="14.25" hidden="false" customHeight="true" outlineLevel="0" collapsed="false"/>
    <row r="605" customFormat="false" ht="14.25" hidden="false" customHeight="true" outlineLevel="0" collapsed="false"/>
    <row r="606" customFormat="false" ht="14.25" hidden="false" customHeight="true" outlineLevel="0" collapsed="false"/>
    <row r="607" customFormat="false" ht="14.25" hidden="false" customHeight="true" outlineLevel="0" collapsed="false"/>
    <row r="608" customFormat="false" ht="14.25" hidden="false" customHeight="true" outlineLevel="0" collapsed="false"/>
    <row r="609" customFormat="false" ht="14.25" hidden="false" customHeight="true" outlineLevel="0" collapsed="false"/>
    <row r="610" customFormat="false" ht="14.25" hidden="false" customHeight="true" outlineLevel="0" collapsed="false"/>
    <row r="611" customFormat="false" ht="14.25" hidden="false" customHeight="true" outlineLevel="0" collapsed="false"/>
    <row r="612" customFormat="false" ht="14.25" hidden="false" customHeight="true" outlineLevel="0" collapsed="false"/>
    <row r="613" customFormat="false" ht="14.25" hidden="false" customHeight="true" outlineLevel="0" collapsed="false"/>
    <row r="614" customFormat="false" ht="14.25" hidden="false" customHeight="true" outlineLevel="0" collapsed="false"/>
    <row r="615" customFormat="false" ht="14.25" hidden="false" customHeight="true" outlineLevel="0" collapsed="false"/>
    <row r="616" customFormat="false" ht="14.25" hidden="false" customHeight="true" outlineLevel="0" collapsed="false"/>
    <row r="617" customFormat="false" ht="14.25" hidden="false" customHeight="true" outlineLevel="0" collapsed="false"/>
    <row r="618" customFormat="false" ht="14.25" hidden="false" customHeight="true" outlineLevel="0" collapsed="false"/>
    <row r="619" customFormat="false" ht="14.25" hidden="false" customHeight="true" outlineLevel="0" collapsed="false"/>
    <row r="620" customFormat="false" ht="14.25" hidden="false" customHeight="true" outlineLevel="0" collapsed="false"/>
    <row r="621" customFormat="false" ht="14.25" hidden="false" customHeight="true" outlineLevel="0" collapsed="false"/>
    <row r="622" customFormat="false" ht="14.25" hidden="false" customHeight="true" outlineLevel="0" collapsed="false"/>
    <row r="623" customFormat="false" ht="14.25" hidden="false" customHeight="true" outlineLevel="0" collapsed="false"/>
    <row r="624" customFormat="false" ht="14.25" hidden="false" customHeight="true" outlineLevel="0" collapsed="false"/>
    <row r="625" customFormat="false" ht="14.25" hidden="false" customHeight="true" outlineLevel="0" collapsed="false"/>
    <row r="626" customFormat="false" ht="14.25" hidden="false" customHeight="true" outlineLevel="0" collapsed="false"/>
    <row r="627" customFormat="false" ht="14.25" hidden="false" customHeight="true" outlineLevel="0" collapsed="false"/>
    <row r="628" customFormat="false" ht="14.25" hidden="false" customHeight="true" outlineLevel="0" collapsed="false"/>
    <row r="629" customFormat="false" ht="14.25" hidden="false" customHeight="true" outlineLevel="0" collapsed="false"/>
    <row r="630" customFormat="false" ht="14.25" hidden="false" customHeight="true" outlineLevel="0" collapsed="false"/>
    <row r="631" customFormat="false" ht="14.25" hidden="false" customHeight="true" outlineLevel="0" collapsed="false"/>
    <row r="632" customFormat="false" ht="14.25" hidden="false" customHeight="true" outlineLevel="0" collapsed="false"/>
    <row r="633" customFormat="false" ht="14.25" hidden="false" customHeight="true" outlineLevel="0" collapsed="false"/>
    <row r="634" customFormat="false" ht="14.25" hidden="false" customHeight="true" outlineLevel="0" collapsed="false"/>
    <row r="635" customFormat="false" ht="14.25" hidden="false" customHeight="true" outlineLevel="0" collapsed="false"/>
    <row r="636" customFormat="false" ht="14.25" hidden="false" customHeight="true" outlineLevel="0" collapsed="false"/>
    <row r="637" customFormat="false" ht="14.25" hidden="false" customHeight="true" outlineLevel="0" collapsed="false"/>
    <row r="638" customFormat="false" ht="14.25" hidden="false" customHeight="true" outlineLevel="0" collapsed="false"/>
    <row r="639" customFormat="false" ht="14.25" hidden="false" customHeight="true" outlineLevel="0" collapsed="false"/>
    <row r="640" customFormat="false" ht="14.25" hidden="false" customHeight="true" outlineLevel="0" collapsed="false"/>
    <row r="641" customFormat="false" ht="14.25" hidden="false" customHeight="true" outlineLevel="0" collapsed="false"/>
    <row r="642" customFormat="false" ht="14.25" hidden="false" customHeight="true" outlineLevel="0" collapsed="false"/>
    <row r="643" customFormat="false" ht="14.25" hidden="false" customHeight="true" outlineLevel="0" collapsed="false"/>
    <row r="644" customFormat="false" ht="14.25" hidden="false" customHeight="true" outlineLevel="0" collapsed="false"/>
    <row r="645" customFormat="false" ht="14.25" hidden="false" customHeight="true" outlineLevel="0" collapsed="false"/>
    <row r="646" customFormat="false" ht="14.25" hidden="false" customHeight="true" outlineLevel="0" collapsed="false"/>
    <row r="647" customFormat="false" ht="14.25" hidden="false" customHeight="true" outlineLevel="0" collapsed="false"/>
    <row r="648" customFormat="false" ht="14.25" hidden="false" customHeight="true" outlineLevel="0" collapsed="false"/>
    <row r="649" customFormat="false" ht="14.25" hidden="false" customHeight="true" outlineLevel="0" collapsed="false"/>
    <row r="650" customFormat="false" ht="14.25" hidden="false" customHeight="true" outlineLevel="0" collapsed="false"/>
    <row r="651" customFormat="false" ht="14.25" hidden="false" customHeight="true" outlineLevel="0" collapsed="false"/>
    <row r="652" customFormat="false" ht="14.25" hidden="false" customHeight="true" outlineLevel="0" collapsed="false"/>
    <row r="653" customFormat="false" ht="14.25" hidden="false" customHeight="true" outlineLevel="0" collapsed="false"/>
    <row r="654" customFormat="false" ht="14.25" hidden="false" customHeight="true" outlineLevel="0" collapsed="false"/>
    <row r="655" customFormat="false" ht="14.25" hidden="false" customHeight="true" outlineLevel="0" collapsed="false"/>
    <row r="656" customFormat="false" ht="14.25" hidden="false" customHeight="true" outlineLevel="0" collapsed="false"/>
    <row r="657" customFormat="false" ht="14.25" hidden="false" customHeight="true" outlineLevel="0" collapsed="false"/>
    <row r="658" customFormat="false" ht="14.25" hidden="false" customHeight="true" outlineLevel="0" collapsed="false"/>
    <row r="659" customFormat="false" ht="14.25" hidden="false" customHeight="true" outlineLevel="0" collapsed="false"/>
    <row r="660" customFormat="false" ht="14.25" hidden="false" customHeight="true" outlineLevel="0" collapsed="false"/>
    <row r="661" customFormat="false" ht="14.25" hidden="false" customHeight="true" outlineLevel="0" collapsed="false"/>
    <row r="662" customFormat="false" ht="14.25" hidden="false" customHeight="true" outlineLevel="0" collapsed="false"/>
    <row r="663" customFormat="false" ht="14.25" hidden="false" customHeight="true" outlineLevel="0" collapsed="false"/>
    <row r="664" customFormat="false" ht="14.25" hidden="false" customHeight="true" outlineLevel="0" collapsed="false"/>
    <row r="665" customFormat="false" ht="14.25" hidden="false" customHeight="true" outlineLevel="0" collapsed="false"/>
    <row r="666" customFormat="false" ht="14.25" hidden="false" customHeight="true" outlineLevel="0" collapsed="false"/>
    <row r="667" customFormat="false" ht="14.25" hidden="false" customHeight="true" outlineLevel="0" collapsed="false"/>
    <row r="668" customFormat="false" ht="14.25" hidden="false" customHeight="true" outlineLevel="0" collapsed="false"/>
    <row r="669" customFormat="false" ht="14.25" hidden="false" customHeight="true" outlineLevel="0" collapsed="false"/>
    <row r="670" customFormat="false" ht="14.25" hidden="false" customHeight="true" outlineLevel="0" collapsed="false"/>
    <row r="671" customFormat="false" ht="14.25" hidden="false" customHeight="true" outlineLevel="0" collapsed="false"/>
    <row r="672" customFormat="false" ht="14.25" hidden="false" customHeight="true" outlineLevel="0" collapsed="false"/>
    <row r="673" customFormat="false" ht="14.25" hidden="false" customHeight="true" outlineLevel="0" collapsed="false"/>
    <row r="674" customFormat="false" ht="14.25" hidden="false" customHeight="true" outlineLevel="0" collapsed="false"/>
    <row r="675" customFormat="false" ht="14.25" hidden="false" customHeight="true" outlineLevel="0" collapsed="false"/>
    <row r="676" customFormat="false" ht="14.25" hidden="false" customHeight="true" outlineLevel="0" collapsed="false"/>
    <row r="677" customFormat="false" ht="14.25" hidden="false" customHeight="true" outlineLevel="0" collapsed="false"/>
    <row r="678" customFormat="false" ht="14.25" hidden="false" customHeight="true" outlineLevel="0" collapsed="false"/>
    <row r="679" customFormat="false" ht="14.25" hidden="false" customHeight="true" outlineLevel="0" collapsed="false"/>
    <row r="680" customFormat="false" ht="14.25" hidden="false" customHeight="true" outlineLevel="0" collapsed="false"/>
    <row r="681" customFormat="false" ht="14.25" hidden="false" customHeight="true" outlineLevel="0" collapsed="false"/>
    <row r="682" customFormat="false" ht="14.25" hidden="false" customHeight="true" outlineLevel="0" collapsed="false"/>
    <row r="683" customFormat="false" ht="14.25" hidden="false" customHeight="true" outlineLevel="0" collapsed="false"/>
    <row r="684" customFormat="false" ht="14.25" hidden="false" customHeight="true" outlineLevel="0" collapsed="false"/>
    <row r="685" customFormat="false" ht="14.25" hidden="false" customHeight="true" outlineLevel="0" collapsed="false"/>
    <row r="686" customFormat="false" ht="14.25" hidden="false" customHeight="true" outlineLevel="0" collapsed="false"/>
    <row r="687" customFormat="false" ht="14.25" hidden="false" customHeight="true" outlineLevel="0" collapsed="false"/>
    <row r="688" customFormat="false" ht="14.25" hidden="false" customHeight="true" outlineLevel="0" collapsed="false"/>
    <row r="689" customFormat="false" ht="14.25" hidden="false" customHeight="true" outlineLevel="0" collapsed="false"/>
    <row r="690" customFormat="false" ht="14.25" hidden="false" customHeight="true" outlineLevel="0" collapsed="false"/>
    <row r="691" customFormat="false" ht="14.25" hidden="false" customHeight="true" outlineLevel="0" collapsed="false"/>
    <row r="692" customFormat="false" ht="14.25" hidden="false" customHeight="true" outlineLevel="0" collapsed="false"/>
    <row r="693" customFormat="false" ht="14.25" hidden="false" customHeight="true" outlineLevel="0" collapsed="false"/>
    <row r="694" customFormat="false" ht="14.25" hidden="false" customHeight="true" outlineLevel="0" collapsed="false"/>
    <row r="695" customFormat="false" ht="14.25" hidden="false" customHeight="true" outlineLevel="0" collapsed="false"/>
    <row r="696" customFormat="false" ht="14.25" hidden="false" customHeight="true" outlineLevel="0" collapsed="false"/>
    <row r="697" customFormat="false" ht="14.25" hidden="false" customHeight="true" outlineLevel="0" collapsed="false"/>
    <row r="698" customFormat="false" ht="14.25" hidden="false" customHeight="true" outlineLevel="0" collapsed="false"/>
    <row r="699" customFormat="false" ht="14.25" hidden="false" customHeight="true" outlineLevel="0" collapsed="false"/>
    <row r="700" customFormat="false" ht="14.25" hidden="false" customHeight="true" outlineLevel="0" collapsed="false"/>
    <row r="701" customFormat="false" ht="14.25" hidden="false" customHeight="true" outlineLevel="0" collapsed="false"/>
    <row r="702" customFormat="false" ht="14.25" hidden="false" customHeight="true" outlineLevel="0" collapsed="false"/>
    <row r="703" customFormat="false" ht="14.25" hidden="false" customHeight="true" outlineLevel="0" collapsed="false"/>
    <row r="704" customFormat="false" ht="14.25" hidden="false" customHeight="true" outlineLevel="0" collapsed="false"/>
    <row r="705" customFormat="false" ht="14.25" hidden="false" customHeight="true" outlineLevel="0" collapsed="false"/>
    <row r="706" customFormat="false" ht="14.25" hidden="false" customHeight="true" outlineLevel="0" collapsed="false"/>
    <row r="707" customFormat="false" ht="14.25" hidden="false" customHeight="true" outlineLevel="0" collapsed="false"/>
    <row r="708" customFormat="false" ht="14.25" hidden="false" customHeight="true" outlineLevel="0" collapsed="false"/>
    <row r="709" customFormat="false" ht="14.25" hidden="false" customHeight="true" outlineLevel="0" collapsed="false"/>
    <row r="710" customFormat="false" ht="14.25" hidden="false" customHeight="true" outlineLevel="0" collapsed="false"/>
    <row r="711" customFormat="false" ht="14.25" hidden="false" customHeight="true" outlineLevel="0" collapsed="false"/>
    <row r="712" customFormat="false" ht="14.25" hidden="false" customHeight="true" outlineLevel="0" collapsed="false"/>
    <row r="713" customFormat="false" ht="14.25" hidden="false" customHeight="true" outlineLevel="0" collapsed="false"/>
    <row r="714" customFormat="false" ht="14.25" hidden="false" customHeight="true" outlineLevel="0" collapsed="false"/>
    <row r="715" customFormat="false" ht="14.25" hidden="false" customHeight="true" outlineLevel="0" collapsed="false"/>
    <row r="716" customFormat="false" ht="14.25" hidden="false" customHeight="true" outlineLevel="0" collapsed="false"/>
    <row r="717" customFormat="false" ht="14.25" hidden="false" customHeight="true" outlineLevel="0" collapsed="false"/>
    <row r="718" customFormat="false" ht="14.25" hidden="false" customHeight="true" outlineLevel="0" collapsed="false"/>
    <row r="719" customFormat="false" ht="14.25" hidden="false" customHeight="true" outlineLevel="0" collapsed="false"/>
    <row r="720" customFormat="false" ht="14.25" hidden="false" customHeight="true" outlineLevel="0" collapsed="false"/>
    <row r="721" customFormat="false" ht="14.25" hidden="false" customHeight="true" outlineLevel="0" collapsed="false"/>
    <row r="722" customFormat="false" ht="14.25" hidden="false" customHeight="true" outlineLevel="0" collapsed="false"/>
    <row r="723" customFormat="false" ht="14.25" hidden="false" customHeight="true" outlineLevel="0" collapsed="false"/>
    <row r="724" customFormat="false" ht="14.25" hidden="false" customHeight="true" outlineLevel="0" collapsed="false"/>
    <row r="725" customFormat="false" ht="14.25" hidden="false" customHeight="true" outlineLevel="0" collapsed="false"/>
    <row r="726" customFormat="false" ht="14.25" hidden="false" customHeight="true" outlineLevel="0" collapsed="false"/>
    <row r="727" customFormat="false" ht="14.25" hidden="false" customHeight="true" outlineLevel="0" collapsed="false"/>
    <row r="728" customFormat="false" ht="14.25" hidden="false" customHeight="true" outlineLevel="0" collapsed="false"/>
    <row r="729" customFormat="false" ht="14.25" hidden="false" customHeight="true" outlineLevel="0" collapsed="false"/>
    <row r="730" customFormat="false" ht="14.25" hidden="false" customHeight="true" outlineLevel="0" collapsed="false"/>
    <row r="731" customFormat="false" ht="14.25" hidden="false" customHeight="true" outlineLevel="0" collapsed="false"/>
    <row r="732" customFormat="false" ht="14.25" hidden="false" customHeight="true" outlineLevel="0" collapsed="false"/>
    <row r="733" customFormat="false" ht="14.25" hidden="false" customHeight="true" outlineLevel="0" collapsed="false"/>
    <row r="734" customFormat="false" ht="14.25" hidden="false" customHeight="true" outlineLevel="0" collapsed="false"/>
    <row r="735" customFormat="false" ht="14.25" hidden="false" customHeight="true" outlineLevel="0" collapsed="false"/>
    <row r="736" customFormat="false" ht="14.25" hidden="false" customHeight="true" outlineLevel="0" collapsed="false"/>
    <row r="737" customFormat="false" ht="14.25" hidden="false" customHeight="true" outlineLevel="0" collapsed="false"/>
    <row r="738" customFormat="false" ht="14.25" hidden="false" customHeight="true" outlineLevel="0" collapsed="false"/>
    <row r="739" customFormat="false" ht="14.25" hidden="false" customHeight="true" outlineLevel="0" collapsed="false"/>
    <row r="740" customFormat="false" ht="14.25" hidden="false" customHeight="true" outlineLevel="0" collapsed="false"/>
    <row r="741" customFormat="false" ht="14.25" hidden="false" customHeight="true" outlineLevel="0" collapsed="false"/>
    <row r="742" customFormat="false" ht="14.25" hidden="false" customHeight="true" outlineLevel="0" collapsed="false"/>
    <row r="743" customFormat="false" ht="14.25" hidden="false" customHeight="true" outlineLevel="0" collapsed="false"/>
    <row r="744" customFormat="false" ht="14.25" hidden="false" customHeight="true" outlineLevel="0" collapsed="false"/>
    <row r="745" customFormat="false" ht="14.25" hidden="false" customHeight="true" outlineLevel="0" collapsed="false"/>
    <row r="746" customFormat="false" ht="14.25" hidden="false" customHeight="true" outlineLevel="0" collapsed="false"/>
    <row r="747" customFormat="false" ht="14.25" hidden="false" customHeight="true" outlineLevel="0" collapsed="false"/>
    <row r="748" customFormat="false" ht="14.25" hidden="false" customHeight="true" outlineLevel="0" collapsed="false"/>
    <row r="749" customFormat="false" ht="14.25" hidden="false" customHeight="true" outlineLevel="0" collapsed="false"/>
    <row r="750" customFormat="false" ht="14.25" hidden="false" customHeight="true" outlineLevel="0" collapsed="false"/>
    <row r="751" customFormat="false" ht="14.25" hidden="false" customHeight="true" outlineLevel="0" collapsed="false"/>
    <row r="752" customFormat="false" ht="14.25" hidden="false" customHeight="true" outlineLevel="0" collapsed="false"/>
    <row r="753" customFormat="false" ht="14.25" hidden="false" customHeight="true" outlineLevel="0" collapsed="false"/>
    <row r="754" customFormat="false" ht="14.25" hidden="false" customHeight="true" outlineLevel="0" collapsed="false"/>
    <row r="755" customFormat="false" ht="14.25" hidden="false" customHeight="true" outlineLevel="0" collapsed="false"/>
    <row r="756" customFormat="false" ht="14.25" hidden="false" customHeight="true" outlineLevel="0" collapsed="false"/>
    <row r="757" customFormat="false" ht="14.25" hidden="false" customHeight="true" outlineLevel="0" collapsed="false"/>
    <row r="758" customFormat="false" ht="14.25" hidden="false" customHeight="true" outlineLevel="0" collapsed="false"/>
    <row r="759" customFormat="false" ht="14.25" hidden="false" customHeight="true" outlineLevel="0" collapsed="false"/>
    <row r="760" customFormat="false" ht="14.25" hidden="false" customHeight="true" outlineLevel="0" collapsed="false"/>
    <row r="761" customFormat="false" ht="14.25" hidden="false" customHeight="true" outlineLevel="0" collapsed="false"/>
    <row r="762" customFormat="false" ht="14.25" hidden="false" customHeight="true" outlineLevel="0" collapsed="false"/>
    <row r="763" customFormat="false" ht="14.25" hidden="false" customHeight="true" outlineLevel="0" collapsed="false"/>
    <row r="764" customFormat="false" ht="14.25" hidden="false" customHeight="true" outlineLevel="0" collapsed="false"/>
    <row r="765" customFormat="false" ht="14.25" hidden="false" customHeight="true" outlineLevel="0" collapsed="false"/>
    <row r="766" customFormat="false" ht="14.25" hidden="false" customHeight="true" outlineLevel="0" collapsed="false"/>
    <row r="767" customFormat="false" ht="14.25" hidden="false" customHeight="true" outlineLevel="0" collapsed="false"/>
    <row r="768" customFormat="false" ht="14.25" hidden="false" customHeight="true" outlineLevel="0" collapsed="false"/>
    <row r="769" customFormat="false" ht="14.25" hidden="false" customHeight="true" outlineLevel="0" collapsed="false"/>
    <row r="770" customFormat="false" ht="14.25" hidden="false" customHeight="true" outlineLevel="0" collapsed="false"/>
    <row r="771" customFormat="false" ht="14.25" hidden="false" customHeight="true" outlineLevel="0" collapsed="false"/>
    <row r="772" customFormat="false" ht="14.25" hidden="false" customHeight="true" outlineLevel="0" collapsed="false"/>
    <row r="773" customFormat="false" ht="14.25" hidden="false" customHeight="true" outlineLevel="0" collapsed="false"/>
    <row r="774" customFormat="false" ht="14.25" hidden="false" customHeight="true" outlineLevel="0" collapsed="false"/>
    <row r="775" customFormat="false" ht="14.25" hidden="false" customHeight="true" outlineLevel="0" collapsed="false"/>
    <row r="776" customFormat="false" ht="14.25" hidden="false" customHeight="true" outlineLevel="0" collapsed="false"/>
    <row r="777" customFormat="false" ht="14.25" hidden="false" customHeight="true" outlineLevel="0" collapsed="false"/>
    <row r="778" customFormat="false" ht="14.25" hidden="false" customHeight="true" outlineLevel="0" collapsed="false"/>
    <row r="779" customFormat="false" ht="14.25" hidden="false" customHeight="true" outlineLevel="0" collapsed="false"/>
    <row r="780" customFormat="false" ht="14.25" hidden="false" customHeight="true" outlineLevel="0" collapsed="false"/>
    <row r="781" customFormat="false" ht="14.25" hidden="false" customHeight="true" outlineLevel="0" collapsed="false"/>
    <row r="782" customFormat="false" ht="14.25" hidden="false" customHeight="true" outlineLevel="0" collapsed="false"/>
    <row r="783" customFormat="false" ht="14.25" hidden="false" customHeight="true" outlineLevel="0" collapsed="false"/>
    <row r="784" customFormat="false" ht="14.25" hidden="false" customHeight="true" outlineLevel="0" collapsed="false"/>
    <row r="785" customFormat="false" ht="14.25" hidden="false" customHeight="true" outlineLevel="0" collapsed="false"/>
    <row r="786" customFormat="false" ht="14.25" hidden="false" customHeight="true" outlineLevel="0" collapsed="false"/>
    <row r="787" customFormat="false" ht="14.25" hidden="false" customHeight="true" outlineLevel="0" collapsed="false"/>
    <row r="788" customFormat="false" ht="14.25" hidden="false" customHeight="true" outlineLevel="0" collapsed="false"/>
    <row r="789" customFormat="false" ht="14.25" hidden="false" customHeight="true" outlineLevel="0" collapsed="false"/>
    <row r="790" customFormat="false" ht="14.25" hidden="false" customHeight="true" outlineLevel="0" collapsed="false"/>
    <row r="791" customFormat="false" ht="14.25" hidden="false" customHeight="true" outlineLevel="0" collapsed="false"/>
    <row r="792" customFormat="false" ht="14.25" hidden="false" customHeight="true" outlineLevel="0" collapsed="false"/>
    <row r="793" customFormat="false" ht="14.25" hidden="false" customHeight="true" outlineLevel="0" collapsed="false"/>
    <row r="794" customFormat="false" ht="14.25" hidden="false" customHeight="true" outlineLevel="0" collapsed="false"/>
    <row r="795" customFormat="false" ht="14.25" hidden="false" customHeight="true" outlineLevel="0" collapsed="false"/>
    <row r="796" customFormat="false" ht="14.25" hidden="false" customHeight="true" outlineLevel="0" collapsed="false"/>
    <row r="797" customFormat="false" ht="14.25" hidden="false" customHeight="true" outlineLevel="0" collapsed="false"/>
    <row r="798" customFormat="false" ht="14.25" hidden="false" customHeight="true" outlineLevel="0" collapsed="false"/>
    <row r="799" customFormat="false" ht="14.25" hidden="false" customHeight="true" outlineLevel="0" collapsed="false"/>
    <row r="800" customFormat="false" ht="14.25" hidden="false" customHeight="true" outlineLevel="0" collapsed="false"/>
    <row r="801" customFormat="false" ht="14.25" hidden="false" customHeight="true" outlineLevel="0" collapsed="false"/>
    <row r="802" customFormat="false" ht="14.25" hidden="false" customHeight="true" outlineLevel="0" collapsed="false"/>
    <row r="803" customFormat="false" ht="14.25" hidden="false" customHeight="true" outlineLevel="0" collapsed="false"/>
    <row r="804" customFormat="false" ht="14.25" hidden="false" customHeight="true" outlineLevel="0" collapsed="false"/>
    <row r="805" customFormat="false" ht="14.25" hidden="false" customHeight="true" outlineLevel="0" collapsed="false"/>
    <row r="806" customFormat="false" ht="14.25" hidden="false" customHeight="true" outlineLevel="0" collapsed="false"/>
    <row r="807" customFormat="false" ht="14.25" hidden="false" customHeight="true" outlineLevel="0" collapsed="false"/>
    <row r="808" customFormat="false" ht="14.25" hidden="false" customHeight="true" outlineLevel="0" collapsed="false"/>
    <row r="809" customFormat="false" ht="14.25" hidden="false" customHeight="true" outlineLevel="0" collapsed="false"/>
    <row r="810" customFormat="false" ht="14.25" hidden="false" customHeight="true" outlineLevel="0" collapsed="false"/>
    <row r="811" customFormat="false" ht="14.25" hidden="false" customHeight="true" outlineLevel="0" collapsed="false"/>
    <row r="812" customFormat="false" ht="14.25" hidden="false" customHeight="true" outlineLevel="0" collapsed="false"/>
    <row r="813" customFormat="false" ht="14.25" hidden="false" customHeight="true" outlineLevel="0" collapsed="false"/>
    <row r="814" customFormat="false" ht="14.25" hidden="false" customHeight="true" outlineLevel="0" collapsed="false"/>
    <row r="815" customFormat="false" ht="14.25" hidden="false" customHeight="true" outlineLevel="0" collapsed="false"/>
    <row r="816" customFormat="false" ht="14.25" hidden="false" customHeight="true" outlineLevel="0" collapsed="false"/>
    <row r="817" customFormat="false" ht="14.25" hidden="false" customHeight="true" outlineLevel="0" collapsed="false"/>
    <row r="818" customFormat="false" ht="14.25" hidden="false" customHeight="true" outlineLevel="0" collapsed="false"/>
    <row r="819" customFormat="false" ht="14.25" hidden="false" customHeight="true" outlineLevel="0" collapsed="false"/>
    <row r="820" customFormat="false" ht="14.25" hidden="false" customHeight="true" outlineLevel="0" collapsed="false"/>
    <row r="821" customFormat="false" ht="14.25" hidden="false" customHeight="true" outlineLevel="0" collapsed="false"/>
    <row r="822" customFormat="false" ht="14.25" hidden="false" customHeight="true" outlineLevel="0" collapsed="false"/>
    <row r="823" customFormat="false" ht="14.25" hidden="false" customHeight="true" outlineLevel="0" collapsed="false"/>
    <row r="824" customFormat="false" ht="14.25" hidden="false" customHeight="true" outlineLevel="0" collapsed="false"/>
    <row r="825" customFormat="false" ht="14.25" hidden="false" customHeight="true" outlineLevel="0" collapsed="false"/>
    <row r="826" customFormat="false" ht="14.25" hidden="false" customHeight="true" outlineLevel="0" collapsed="false"/>
    <row r="827" customFormat="false" ht="14.25" hidden="false" customHeight="true" outlineLevel="0" collapsed="false"/>
    <row r="828" customFormat="false" ht="14.25" hidden="false" customHeight="true" outlineLevel="0" collapsed="false"/>
    <row r="829" customFormat="false" ht="14.25" hidden="false" customHeight="true" outlineLevel="0" collapsed="false"/>
    <row r="830" customFormat="false" ht="14.25" hidden="false" customHeight="true" outlineLevel="0" collapsed="false"/>
    <row r="831" customFormat="false" ht="14.25" hidden="false" customHeight="true" outlineLevel="0" collapsed="false"/>
    <row r="832" customFormat="false" ht="14.25" hidden="false" customHeight="true" outlineLevel="0" collapsed="false"/>
    <row r="833" customFormat="false" ht="14.25" hidden="false" customHeight="true" outlineLevel="0" collapsed="false"/>
    <row r="834" customFormat="false" ht="14.25" hidden="false" customHeight="true" outlineLevel="0" collapsed="false"/>
    <row r="835" customFormat="false" ht="14.25" hidden="false" customHeight="true" outlineLevel="0" collapsed="false"/>
    <row r="836" customFormat="false" ht="14.25" hidden="false" customHeight="true" outlineLevel="0" collapsed="false"/>
    <row r="837" customFormat="false" ht="14.25" hidden="false" customHeight="true" outlineLevel="0" collapsed="false"/>
    <row r="838" customFormat="false" ht="14.25" hidden="false" customHeight="true" outlineLevel="0" collapsed="false"/>
    <row r="839" customFormat="false" ht="14.25" hidden="false" customHeight="true" outlineLevel="0" collapsed="false"/>
    <row r="840" customFormat="false" ht="14.25" hidden="false" customHeight="true" outlineLevel="0" collapsed="false"/>
    <row r="841" customFormat="false" ht="14.25" hidden="false" customHeight="true" outlineLevel="0" collapsed="false"/>
    <row r="842" customFormat="false" ht="14.25" hidden="false" customHeight="true" outlineLevel="0" collapsed="false"/>
    <row r="843" customFormat="false" ht="14.25" hidden="false" customHeight="true" outlineLevel="0" collapsed="false"/>
    <row r="844" customFormat="false" ht="14.25" hidden="false" customHeight="true" outlineLevel="0" collapsed="false"/>
    <row r="845" customFormat="false" ht="14.25" hidden="false" customHeight="true" outlineLevel="0" collapsed="false"/>
    <row r="846" customFormat="false" ht="14.25" hidden="false" customHeight="true" outlineLevel="0" collapsed="false"/>
    <row r="847" customFormat="false" ht="14.25" hidden="false" customHeight="true" outlineLevel="0" collapsed="false"/>
    <row r="848" customFormat="false" ht="14.25" hidden="false" customHeight="true" outlineLevel="0" collapsed="false"/>
    <row r="849" customFormat="false" ht="14.25" hidden="false" customHeight="true" outlineLevel="0" collapsed="false"/>
    <row r="850" customFormat="false" ht="14.25" hidden="false" customHeight="true" outlineLevel="0" collapsed="false"/>
    <row r="851" customFormat="false" ht="14.25" hidden="false" customHeight="true" outlineLevel="0" collapsed="false"/>
    <row r="852" customFormat="false" ht="14.25" hidden="false" customHeight="true" outlineLevel="0" collapsed="false"/>
    <row r="853" customFormat="false" ht="14.25" hidden="false" customHeight="true" outlineLevel="0" collapsed="false"/>
    <row r="854" customFormat="false" ht="14.25" hidden="false" customHeight="true" outlineLevel="0" collapsed="false"/>
    <row r="855" customFormat="false" ht="14.25" hidden="false" customHeight="true" outlineLevel="0" collapsed="false"/>
    <row r="856" customFormat="false" ht="14.25" hidden="false" customHeight="true" outlineLevel="0" collapsed="false"/>
    <row r="857" customFormat="false" ht="14.25" hidden="false" customHeight="true" outlineLevel="0" collapsed="false"/>
    <row r="858" customFormat="false" ht="14.25" hidden="false" customHeight="true" outlineLevel="0" collapsed="false"/>
    <row r="859" customFormat="false" ht="14.25" hidden="false" customHeight="true" outlineLevel="0" collapsed="false"/>
    <row r="860" customFormat="false" ht="14.25" hidden="false" customHeight="true" outlineLevel="0" collapsed="false"/>
    <row r="861" customFormat="false" ht="14.25" hidden="false" customHeight="true" outlineLevel="0" collapsed="false"/>
    <row r="862" customFormat="false" ht="14.25" hidden="false" customHeight="true" outlineLevel="0" collapsed="false"/>
    <row r="863" customFormat="false" ht="14.25" hidden="false" customHeight="true" outlineLevel="0" collapsed="false"/>
    <row r="864" customFormat="false" ht="14.25" hidden="false" customHeight="true" outlineLevel="0" collapsed="false"/>
    <row r="865" customFormat="false" ht="14.25" hidden="false" customHeight="true" outlineLevel="0" collapsed="false"/>
    <row r="866" customFormat="false" ht="14.25" hidden="false" customHeight="true" outlineLevel="0" collapsed="false"/>
    <row r="867" customFormat="false" ht="14.25" hidden="false" customHeight="true" outlineLevel="0" collapsed="false"/>
    <row r="868" customFormat="false" ht="14.25" hidden="false" customHeight="true" outlineLevel="0" collapsed="false"/>
    <row r="869" customFormat="false" ht="14.25" hidden="false" customHeight="true" outlineLevel="0" collapsed="false"/>
    <row r="870" customFormat="false" ht="14.25" hidden="false" customHeight="true" outlineLevel="0" collapsed="false"/>
    <row r="871" customFormat="false" ht="14.25" hidden="false" customHeight="true" outlineLevel="0" collapsed="false"/>
    <row r="872" customFormat="false" ht="14.25" hidden="false" customHeight="true" outlineLevel="0" collapsed="false"/>
    <row r="873" customFormat="false" ht="14.25" hidden="false" customHeight="true" outlineLevel="0" collapsed="false"/>
    <row r="874" customFormat="false" ht="14.25" hidden="false" customHeight="true" outlineLevel="0" collapsed="false"/>
    <row r="875" customFormat="false" ht="14.25" hidden="false" customHeight="true" outlineLevel="0" collapsed="false"/>
    <row r="876" customFormat="false" ht="14.25" hidden="false" customHeight="true" outlineLevel="0" collapsed="false"/>
    <row r="877" customFormat="false" ht="14.25" hidden="false" customHeight="true" outlineLevel="0" collapsed="false"/>
    <row r="878" customFormat="false" ht="14.25" hidden="false" customHeight="true" outlineLevel="0" collapsed="false"/>
    <row r="879" customFormat="false" ht="14.25" hidden="false" customHeight="true" outlineLevel="0" collapsed="false"/>
    <row r="880" customFormat="false" ht="14.25" hidden="false" customHeight="true" outlineLevel="0" collapsed="false"/>
    <row r="881" customFormat="false" ht="14.25" hidden="false" customHeight="true" outlineLevel="0" collapsed="false"/>
    <row r="882" customFormat="false" ht="14.25" hidden="false" customHeight="true" outlineLevel="0" collapsed="false"/>
    <row r="883" customFormat="false" ht="14.25" hidden="false" customHeight="true" outlineLevel="0" collapsed="false"/>
    <row r="884" customFormat="false" ht="14.25" hidden="false" customHeight="true" outlineLevel="0" collapsed="false"/>
    <row r="885" customFormat="false" ht="14.25" hidden="false" customHeight="true" outlineLevel="0" collapsed="false"/>
    <row r="886" customFormat="false" ht="14.25" hidden="false" customHeight="true" outlineLevel="0" collapsed="false"/>
    <row r="887" customFormat="false" ht="14.25" hidden="false" customHeight="true" outlineLevel="0" collapsed="false"/>
    <row r="888" customFormat="false" ht="14.25" hidden="false" customHeight="true" outlineLevel="0" collapsed="false"/>
    <row r="889" customFormat="false" ht="14.25" hidden="false" customHeight="true" outlineLevel="0" collapsed="false"/>
    <row r="890" customFormat="false" ht="14.25" hidden="false" customHeight="true" outlineLevel="0" collapsed="false"/>
    <row r="891" customFormat="false" ht="14.25" hidden="false" customHeight="true" outlineLevel="0" collapsed="false"/>
    <row r="892" customFormat="false" ht="14.25" hidden="false" customHeight="true" outlineLevel="0" collapsed="false"/>
    <row r="893" customFormat="false" ht="14.25" hidden="false" customHeight="true" outlineLevel="0" collapsed="false"/>
    <row r="894" customFormat="false" ht="14.25" hidden="false" customHeight="true" outlineLevel="0" collapsed="false"/>
    <row r="895" customFormat="false" ht="14.25" hidden="false" customHeight="true" outlineLevel="0" collapsed="false"/>
    <row r="896" customFormat="false" ht="14.25" hidden="false" customHeight="true" outlineLevel="0" collapsed="false"/>
    <row r="897" customFormat="false" ht="14.25" hidden="false" customHeight="true" outlineLevel="0" collapsed="false"/>
    <row r="898" customFormat="false" ht="14.25" hidden="false" customHeight="true" outlineLevel="0" collapsed="false"/>
    <row r="899" customFormat="false" ht="14.25" hidden="false" customHeight="true" outlineLevel="0" collapsed="false"/>
    <row r="900" customFormat="false" ht="14.25" hidden="false" customHeight="true" outlineLevel="0" collapsed="false"/>
    <row r="901" customFormat="false" ht="14.25" hidden="false" customHeight="true" outlineLevel="0" collapsed="false"/>
    <row r="902" customFormat="false" ht="14.25" hidden="false" customHeight="true" outlineLevel="0" collapsed="false"/>
    <row r="903" customFormat="false" ht="14.25" hidden="false" customHeight="true" outlineLevel="0" collapsed="false"/>
    <row r="904" customFormat="false" ht="14.25" hidden="false" customHeight="true" outlineLevel="0" collapsed="false"/>
    <row r="905" customFormat="false" ht="14.25" hidden="false" customHeight="true" outlineLevel="0" collapsed="false"/>
    <row r="906" customFormat="false" ht="14.25" hidden="false" customHeight="true" outlineLevel="0" collapsed="false"/>
    <row r="907" customFormat="false" ht="14.25" hidden="false" customHeight="true" outlineLevel="0" collapsed="false"/>
    <row r="908" customFormat="false" ht="14.25" hidden="false" customHeight="true" outlineLevel="0" collapsed="false"/>
    <row r="909" customFormat="false" ht="14.25" hidden="false" customHeight="true" outlineLevel="0" collapsed="false"/>
    <row r="910" customFormat="false" ht="14.25" hidden="false" customHeight="true" outlineLevel="0" collapsed="false"/>
    <row r="911" customFormat="false" ht="14.25" hidden="false" customHeight="true" outlineLevel="0" collapsed="false"/>
    <row r="912" customFormat="false" ht="14.25" hidden="false" customHeight="true" outlineLevel="0" collapsed="false"/>
    <row r="913" customFormat="false" ht="14.25" hidden="false" customHeight="true" outlineLevel="0" collapsed="false"/>
    <row r="914" customFormat="false" ht="14.25" hidden="false" customHeight="true" outlineLevel="0" collapsed="false"/>
    <row r="915" customFormat="false" ht="14.25" hidden="false" customHeight="true" outlineLevel="0" collapsed="false"/>
    <row r="916" customFormat="false" ht="14.25" hidden="false" customHeight="true" outlineLevel="0" collapsed="false"/>
    <row r="917" customFormat="false" ht="14.25" hidden="false" customHeight="true" outlineLevel="0" collapsed="false"/>
    <row r="918" customFormat="false" ht="14.25" hidden="false" customHeight="true" outlineLevel="0" collapsed="false"/>
    <row r="919" customFormat="false" ht="14.25" hidden="false" customHeight="true" outlineLevel="0" collapsed="false"/>
    <row r="920" customFormat="false" ht="14.25" hidden="false" customHeight="true" outlineLevel="0" collapsed="false"/>
    <row r="921" customFormat="false" ht="14.25" hidden="false" customHeight="true" outlineLevel="0" collapsed="false"/>
    <row r="922" customFormat="false" ht="14.25" hidden="false" customHeight="true" outlineLevel="0" collapsed="false"/>
    <row r="923" customFormat="false" ht="14.25" hidden="false" customHeight="true" outlineLevel="0" collapsed="false"/>
    <row r="924" customFormat="false" ht="14.25" hidden="false" customHeight="true" outlineLevel="0" collapsed="false"/>
    <row r="925" customFormat="false" ht="14.25" hidden="false" customHeight="true" outlineLevel="0" collapsed="false"/>
    <row r="926" customFormat="false" ht="14.25" hidden="false" customHeight="true" outlineLevel="0" collapsed="false"/>
    <row r="927" customFormat="false" ht="14.25" hidden="false" customHeight="true" outlineLevel="0" collapsed="false"/>
    <row r="928" customFormat="false" ht="14.25" hidden="false" customHeight="true" outlineLevel="0" collapsed="false"/>
    <row r="929" customFormat="false" ht="14.25" hidden="false" customHeight="true" outlineLevel="0" collapsed="false"/>
    <row r="930" customFormat="false" ht="14.25" hidden="false" customHeight="true" outlineLevel="0" collapsed="false"/>
    <row r="931" customFormat="false" ht="14.25" hidden="false" customHeight="true" outlineLevel="0" collapsed="false"/>
    <row r="932" customFormat="false" ht="14.25" hidden="false" customHeight="true" outlineLevel="0" collapsed="false"/>
    <row r="933" customFormat="false" ht="14.25" hidden="false" customHeight="true" outlineLevel="0" collapsed="false"/>
    <row r="934" customFormat="false" ht="14.25" hidden="false" customHeight="true" outlineLevel="0" collapsed="false"/>
    <row r="935" customFormat="false" ht="14.25" hidden="false" customHeight="true" outlineLevel="0" collapsed="false"/>
    <row r="936" customFormat="false" ht="14.25" hidden="false" customHeight="true" outlineLevel="0" collapsed="false"/>
    <row r="937" customFormat="false" ht="14.25" hidden="false" customHeight="true" outlineLevel="0" collapsed="false"/>
    <row r="938" customFormat="false" ht="14.25" hidden="false" customHeight="true" outlineLevel="0" collapsed="false"/>
    <row r="939" customFormat="false" ht="14.25" hidden="false" customHeight="true" outlineLevel="0" collapsed="false"/>
    <row r="940" customFormat="false" ht="14.25" hidden="false" customHeight="true" outlineLevel="0" collapsed="false"/>
    <row r="941" customFormat="false" ht="14.25" hidden="false" customHeight="true" outlineLevel="0" collapsed="false"/>
    <row r="942" customFormat="false" ht="14.25" hidden="false" customHeight="true" outlineLevel="0" collapsed="false"/>
    <row r="943" customFormat="false" ht="14.25" hidden="false" customHeight="true" outlineLevel="0" collapsed="false"/>
    <row r="944" customFormat="false" ht="14.25" hidden="false" customHeight="true" outlineLevel="0" collapsed="false"/>
    <row r="945" customFormat="false" ht="14.25" hidden="false" customHeight="true" outlineLevel="0" collapsed="false"/>
    <row r="946" customFormat="false" ht="14.25" hidden="false" customHeight="true" outlineLevel="0" collapsed="false"/>
    <row r="947" customFormat="false" ht="14.25" hidden="false" customHeight="true" outlineLevel="0" collapsed="false"/>
    <row r="948" customFormat="false" ht="14.25" hidden="false" customHeight="true" outlineLevel="0" collapsed="false"/>
    <row r="949" customFormat="false" ht="14.25" hidden="false" customHeight="true" outlineLevel="0" collapsed="false"/>
    <row r="950" customFormat="false" ht="14.25" hidden="false" customHeight="true" outlineLevel="0" collapsed="false"/>
    <row r="951" customFormat="false" ht="14.25" hidden="false" customHeight="true" outlineLevel="0" collapsed="false"/>
    <row r="952" customFormat="false" ht="14.25" hidden="false" customHeight="true" outlineLevel="0" collapsed="false"/>
    <row r="953" customFormat="false" ht="14.25" hidden="false" customHeight="true" outlineLevel="0" collapsed="false"/>
    <row r="954" customFormat="false" ht="14.25" hidden="false" customHeight="true" outlineLevel="0" collapsed="false"/>
    <row r="955" customFormat="false" ht="14.25" hidden="false" customHeight="true" outlineLevel="0" collapsed="false"/>
    <row r="956" customFormat="false" ht="14.25" hidden="false" customHeight="true" outlineLevel="0" collapsed="false"/>
    <row r="957" customFormat="false" ht="14.25" hidden="false" customHeight="true" outlineLevel="0" collapsed="false"/>
    <row r="958" customFormat="false" ht="14.25" hidden="false" customHeight="true" outlineLevel="0" collapsed="false"/>
    <row r="959" customFormat="false" ht="14.25" hidden="false" customHeight="true" outlineLevel="0" collapsed="false"/>
    <row r="960" customFormat="false" ht="14.25" hidden="false" customHeight="true" outlineLevel="0" collapsed="false"/>
    <row r="961" customFormat="false" ht="14.25" hidden="false" customHeight="true" outlineLevel="0" collapsed="false"/>
    <row r="962" customFormat="false" ht="14.25" hidden="false" customHeight="true" outlineLevel="0" collapsed="false"/>
    <row r="963" customFormat="false" ht="14.25" hidden="false" customHeight="true" outlineLevel="0" collapsed="false"/>
    <row r="964" customFormat="false" ht="14.25" hidden="false" customHeight="true" outlineLevel="0" collapsed="false"/>
    <row r="965" customFormat="false" ht="14.25" hidden="false" customHeight="true" outlineLevel="0" collapsed="false"/>
    <row r="966" customFormat="false" ht="14.25" hidden="false" customHeight="true" outlineLevel="0" collapsed="false"/>
    <row r="967" customFormat="false" ht="14.25" hidden="false" customHeight="true" outlineLevel="0" collapsed="false"/>
    <row r="968" customFormat="false" ht="14.25" hidden="false" customHeight="true" outlineLevel="0" collapsed="false"/>
    <row r="969" customFormat="false" ht="14.25" hidden="false" customHeight="true" outlineLevel="0" collapsed="false"/>
    <row r="970" customFormat="false" ht="14.25" hidden="false" customHeight="true" outlineLevel="0" collapsed="false"/>
    <row r="971" customFormat="false" ht="14.25" hidden="false" customHeight="true" outlineLevel="0" collapsed="false"/>
    <row r="972" customFormat="false" ht="14.25" hidden="false" customHeight="true" outlineLevel="0" collapsed="false"/>
    <row r="973" customFormat="false" ht="14.25" hidden="false" customHeight="true" outlineLevel="0" collapsed="false"/>
    <row r="974" customFormat="false" ht="14.25" hidden="false" customHeight="true" outlineLevel="0" collapsed="false"/>
    <row r="975" customFormat="false" ht="14.25" hidden="false" customHeight="true" outlineLevel="0" collapsed="false"/>
    <row r="976" customFormat="false" ht="14.25" hidden="false" customHeight="true" outlineLevel="0" collapsed="false"/>
    <row r="977" customFormat="false" ht="14.25" hidden="false" customHeight="true" outlineLevel="0" collapsed="false"/>
    <row r="978" customFormat="false" ht="14.25" hidden="false" customHeight="true" outlineLevel="0" collapsed="false"/>
    <row r="979" customFormat="false" ht="14.25" hidden="false" customHeight="true" outlineLevel="0" collapsed="false"/>
    <row r="980" customFormat="false" ht="14.25" hidden="false" customHeight="true" outlineLevel="0" collapsed="false"/>
    <row r="981" customFormat="false" ht="14.25" hidden="false" customHeight="true" outlineLevel="0" collapsed="false"/>
    <row r="982" customFormat="false" ht="14.25" hidden="false" customHeight="true" outlineLevel="0" collapsed="false"/>
    <row r="983" customFormat="false" ht="14.25" hidden="false" customHeight="true" outlineLevel="0" collapsed="false"/>
    <row r="984" customFormat="false" ht="14.25" hidden="false" customHeight="true" outlineLevel="0" collapsed="false"/>
    <row r="985" customFormat="false" ht="14.25" hidden="false" customHeight="true" outlineLevel="0" collapsed="false"/>
    <row r="986" customFormat="false" ht="14.25" hidden="false" customHeight="true" outlineLevel="0" collapsed="false"/>
    <row r="987" customFormat="false" ht="14.25" hidden="false" customHeight="true" outlineLevel="0" collapsed="false"/>
    <row r="988" customFormat="false" ht="14.25" hidden="false" customHeight="true" outlineLevel="0" collapsed="false"/>
    <row r="989" customFormat="false" ht="14.25" hidden="false" customHeight="true" outlineLevel="0" collapsed="false"/>
    <row r="990" customFormat="false" ht="14.25" hidden="false" customHeight="true" outlineLevel="0" collapsed="false"/>
    <row r="991" customFormat="false" ht="14.25" hidden="false" customHeight="true" outlineLevel="0" collapsed="false"/>
    <row r="992" customFormat="false" ht="14.25" hidden="false" customHeight="true" outlineLevel="0" collapsed="false"/>
    <row r="993" customFormat="false" ht="14.25" hidden="false" customHeight="true" outlineLevel="0" collapsed="false"/>
    <row r="994" customFormat="false" ht="14.25" hidden="false" customHeight="true" outlineLevel="0" collapsed="false"/>
    <row r="995" customFormat="false" ht="14.25" hidden="false" customHeight="true" outlineLevel="0" collapsed="false"/>
    <row r="996" customFormat="false" ht="14.25" hidden="false" customHeight="true" outlineLevel="0" collapsed="false"/>
    <row r="997" customFormat="false" ht="14.25" hidden="false" customHeight="true" outlineLevel="0" collapsed="false"/>
    <row r="998" customFormat="false" ht="14.25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P8:P55">
    <cfRule type="expression" priority="2" aboveAverage="0" equalAverage="0" bottom="0" percent="0" rank="0" text="" dxfId="7">
      <formula>row&lt;=11</formula>
    </cfRule>
  </conditionalFormatting>
  <conditionalFormatting sqref="O8">
    <cfRule type="notContainsErrors" priority="3" aboveAverage="0" equalAverage="0" bottom="0" percent="0" rank="0" text="" dxfId="7">
      <formula>NOT(ISERROR(O8))</formula>
    </cfRule>
  </conditionalFormatting>
  <hyperlinks>
    <hyperlink ref="L14" r:id="rId1" display="support@unmessenger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tableParts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7:P55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N1" activeCellId="0" sqref="N1"/>
    </sheetView>
  </sheetViews>
  <sheetFormatPr defaultColWidth="11.53515625" defaultRowHeight="13.8" zeroHeight="false" outlineLevelRow="0" outlineLevelCol="0"/>
  <sheetData>
    <row r="7" customFormat="false" ht="13.8" hidden="false" customHeight="false" outlineLevel="0" collapsed="false">
      <c r="F7" s="0" t="s">
        <v>157</v>
      </c>
      <c r="G7" s="12" t="s">
        <v>2</v>
      </c>
      <c r="I7" s="13" t="s">
        <v>4</v>
      </c>
      <c r="N7" s="13" t="s">
        <v>9</v>
      </c>
    </row>
    <row r="8" customFormat="false" ht="13.8" hidden="false" customHeight="false" outlineLevel="0" collapsed="false">
      <c r="F8" s="0" t="e">
        <f aca="false">IF(#REF!="",LEFT(K8, FIND("@", K8) - 1), #REF!)</f>
        <v>#REF!</v>
      </c>
      <c r="G8" s="14"/>
      <c r="H8" s="0" t="n">
        <v>32</v>
      </c>
      <c r="I8" s="14" t="n">
        <f aca="false">IF(ISBLANK(H8),$B$9,H8)</f>
        <v>32</v>
      </c>
      <c r="N8" s="15" t="e">
        <f aca="false">="91-" &amp; MID(SUBSTITUTE(SUBSTITUTE(M8, " ", ""), "-", ""), 3, LEN(M8)-2) &amp; ""</f>
        <v>#VALUE!</v>
      </c>
      <c r="O8" s="7" t="s">
        <v>35</v>
      </c>
      <c r="P8" s="16"/>
    </row>
    <row r="9" customFormat="false" ht="13.8" hidden="false" customHeight="false" outlineLevel="0" collapsed="false">
      <c r="B9" s="0" t="n">
        <f aca="false">AVERAGE(H8:H55)</f>
        <v>32</v>
      </c>
      <c r="F9" s="0" t="e">
        <f aca="false">IF(#REF!="",LEFT(K9, FIND("@", K9) - 1), #REF!)</f>
        <v>#REF!</v>
      </c>
      <c r="G9" s="14"/>
      <c r="I9" s="14" t="n">
        <f aca="false">IF(ISBLANK(H9),$B$9,H9)</f>
        <v>32</v>
      </c>
      <c r="N9" s="15" t="e">
        <f aca="false">="91-" &amp; MID(SUBSTITUTE(SUBSTITUTE(M9, " ", ""), "-", ""), 3, LEN(M9)-2) &amp; ""</f>
        <v>#VALUE!</v>
      </c>
      <c r="P9" s="16"/>
    </row>
    <row r="10" customFormat="false" ht="13.8" hidden="false" customHeight="false" outlineLevel="0" collapsed="false">
      <c r="F10" s="0" t="e">
        <f aca="false">IF(#REF!="",LEFT(K10, FIND("@", K10) - 1), #REF!)</f>
        <v>#REF!</v>
      </c>
      <c r="G10" s="14"/>
      <c r="I10" s="14" t="n">
        <f aca="false">IF(ISBLANK(H10),$B$9,H10)</f>
        <v>32</v>
      </c>
      <c r="K10" s="0" t="s">
        <v>25</v>
      </c>
      <c r="N10" s="15" t="e">
        <f aca="false">="91-" &amp; MID(SUBSTITUTE(SUBSTITUTE(M10, " ", ""), "-", ""), 3, LEN(M10)-2) &amp; ""</f>
        <v>#VALUE!</v>
      </c>
      <c r="P10" s="16"/>
    </row>
    <row r="11" customFormat="false" ht="13.8" hidden="false" customHeight="false" outlineLevel="0" collapsed="false">
      <c r="F11" s="0" t="e">
        <f aca="false">IF(#REF!="",LEFT(K11, FIND("@", K11) - 1), #REF!)</f>
        <v>#REF!</v>
      </c>
      <c r="G11" s="14"/>
      <c r="I11" s="14" t="n">
        <f aca="false">IF(ISBLANK(H11),$B$9,H11)</f>
        <v>32</v>
      </c>
      <c r="N11" s="15" t="e">
        <f aca="false">="91-" &amp; MID(SUBSTITUTE(SUBSTITUTE(M11, " ", ""), "-", ""), 3, LEN(M11)-2) &amp; ""</f>
        <v>#VALUE!</v>
      </c>
      <c r="P11" s="16"/>
    </row>
    <row r="12" customFormat="false" ht="13.8" hidden="false" customHeight="false" outlineLevel="0" collapsed="false">
      <c r="F12" s="0" t="e">
        <f aca="false">IF(#REF!="",LEFT(K12, FIND("@", K12) - 1), #REF!)</f>
        <v>#REF!</v>
      </c>
      <c r="G12" s="14"/>
      <c r="I12" s="14" t="n">
        <f aca="false">IF(ISBLANK(H12),$B$9,H12)</f>
        <v>32</v>
      </c>
      <c r="K12" s="0" t="s">
        <v>37</v>
      </c>
      <c r="N12" s="15" t="e">
        <f aca="false">="91-" &amp; MID(SUBSTITUTE(SUBSTITUTE(M12, " ", ""), "-", ""), 3, LEN(M12)-2) &amp; ""</f>
        <v>#VALUE!</v>
      </c>
      <c r="O12" s="17" t="str">
        <f aca="false">IF(O7=" ", ("Adrress not Available"), O8)</f>
        <v>Address Not Available</v>
      </c>
      <c r="P12" s="16"/>
    </row>
    <row r="13" customFormat="false" ht="13.8" hidden="false" customHeight="false" outlineLevel="0" collapsed="false">
      <c r="F13" s="0" t="e">
        <f aca="false">IF(#REF!="",LEFT(K13, FIND("@", K13) - 1), #REF!)</f>
        <v>#REF!</v>
      </c>
      <c r="G13" s="14"/>
      <c r="I13" s="14" t="n">
        <f aca="false">IF(ISBLANK(H13),$B$9,H13)</f>
        <v>32</v>
      </c>
      <c r="N13" s="15" t="e">
        <f aca="false">="91-" &amp; MID(SUBSTITUTE(SUBSTITUTE(M13, " ", ""), "-", ""), 3, LEN(M13)-2) &amp; ""</f>
        <v>#VALUE!</v>
      </c>
      <c r="P13" s="16"/>
    </row>
    <row r="14" customFormat="false" ht="13.8" hidden="false" customHeight="false" outlineLevel="0" collapsed="false">
      <c r="F14" s="0" t="e">
        <f aca="false">IF(#REF!="",LEFT(K14, FIND("@", K14) - 1), #REF!)</f>
        <v>#REF!</v>
      </c>
      <c r="G14" s="14"/>
      <c r="I14" s="14" t="n">
        <f aca="false">IF(ISBLANK(H14),$B$9,H14)</f>
        <v>32</v>
      </c>
      <c r="K14" s="0" t="s">
        <v>25</v>
      </c>
      <c r="L14" s="18"/>
      <c r="N14" s="15" t="e">
        <f aca="false">="91-" &amp; MID(SUBSTITUTE(SUBSTITUTE(M14, " ", ""), "-", ""), 3, LEN(M14)-2) &amp; ""</f>
        <v>#VALUE!</v>
      </c>
      <c r="P14" s="16"/>
    </row>
    <row r="15" customFormat="false" ht="13.8" hidden="false" customHeight="false" outlineLevel="0" collapsed="false">
      <c r="F15" s="0" t="e">
        <f aca="false">IF(#REF!="",LEFT(K15, FIND("@", K15) - 1), #REF!)</f>
        <v>#REF!</v>
      </c>
      <c r="G15" s="14"/>
      <c r="I15" s="14" t="n">
        <f aca="false">IF(ISBLANK(H15),$B$9,H15)</f>
        <v>32</v>
      </c>
      <c r="N15" s="15" t="e">
        <f aca="false">="91-" &amp; MID(SUBSTITUTE(SUBSTITUTE(M15, " ", ""), "-", ""), 3, LEN(M15)-2) &amp; ""</f>
        <v>#VALUE!</v>
      </c>
      <c r="O15" s="17" t="n">
        <f aca="false">IF(O10=" ", ("Adrress not Available"), O11)</f>
        <v>0</v>
      </c>
      <c r="P15" s="16"/>
    </row>
    <row r="16" customFormat="false" ht="13.8" hidden="false" customHeight="false" outlineLevel="0" collapsed="false">
      <c r="F16" s="0" t="e">
        <f aca="false">IF(#REF!="",LEFT(K16, FIND("@", K16) - 1), #REF!)</f>
        <v>#REF!</v>
      </c>
      <c r="G16" s="14"/>
      <c r="I16" s="14" t="n">
        <f aca="false">IF(ISBLANK(H16),$B$9,H16)</f>
        <v>32</v>
      </c>
      <c r="N16" s="15" t="e">
        <f aca="false">="91-" &amp; MID(SUBSTITUTE(SUBSTITUTE(M16, " ", ""), "-", ""), 3, LEN(M16)-2) &amp; ""</f>
        <v>#VALUE!</v>
      </c>
      <c r="P16" s="16"/>
    </row>
    <row r="17" customFormat="false" ht="13.8" hidden="false" customHeight="false" outlineLevel="0" collapsed="false">
      <c r="F17" s="0" t="e">
        <f aca="false">IF(#REF!="",LEFT(K17, FIND("@", K17) - 1), #REF!)</f>
        <v>#REF!</v>
      </c>
      <c r="G17" s="14"/>
      <c r="I17" s="14" t="n">
        <f aca="false">IF(ISBLANK(H17),$B$9,H17)</f>
        <v>32</v>
      </c>
      <c r="N17" s="15" t="e">
        <f aca="false">="91-" &amp; MID(SUBSTITUTE(SUBSTITUTE(M17, " ", ""), "-", ""), 3, LEN(M17)-2) &amp; ""</f>
        <v>#VALUE!</v>
      </c>
      <c r="P17" s="16"/>
    </row>
    <row r="18" customFormat="false" ht="13.8" hidden="false" customHeight="false" outlineLevel="0" collapsed="false">
      <c r="F18" s="0" t="e">
        <f aca="false">IF(#REF!="",LEFT(K18, FIND("@", K18) - 1), #REF!)</f>
        <v>#REF!</v>
      </c>
      <c r="G18" s="14"/>
      <c r="I18" s="14" t="n">
        <f aca="false">IF(ISBLANK(H18),$B$9,H18)</f>
        <v>32</v>
      </c>
      <c r="N18" s="15" t="e">
        <f aca="false">="91-" &amp; MID(SUBSTITUTE(SUBSTITUTE(M18, " ", ""), "-", ""), 3, LEN(M18)-2) &amp; ""</f>
        <v>#VALUE!</v>
      </c>
      <c r="P18" s="16"/>
    </row>
    <row r="19" customFormat="false" ht="13.8" hidden="false" customHeight="false" outlineLevel="0" collapsed="false">
      <c r="F19" s="0" t="e">
        <f aca="false">IF(#REF!="",LEFT(K19, FIND("@", K19) - 1), #REF!)</f>
        <v>#REF!</v>
      </c>
      <c r="G19" s="14"/>
      <c r="I19" s="14" t="n">
        <f aca="false">IF(ISBLANK(H19),$B$9,H19)</f>
        <v>32</v>
      </c>
      <c r="N19" s="15" t="e">
        <f aca="false">="91-" &amp; MID(SUBSTITUTE(SUBSTITUTE(M19, " ", ""), "-", ""), 3, LEN(M19)-2) &amp; ""</f>
        <v>#VALUE!</v>
      </c>
    </row>
    <row r="20" customFormat="false" ht="13.8" hidden="false" customHeight="false" outlineLevel="0" collapsed="false">
      <c r="F20" s="0" t="e">
        <f aca="false">IF(#REF!="",LEFT(K20, FIND("@", K20) - 1), #REF!)</f>
        <v>#REF!</v>
      </c>
      <c r="G20" s="14"/>
      <c r="I20" s="14" t="n">
        <f aca="false">IF(ISBLANK(H20),$B$9,H20)</f>
        <v>32</v>
      </c>
      <c r="N20" s="15" t="e">
        <f aca="false">="91-" &amp; MID(SUBSTITUTE(SUBSTITUTE(M20, " ", ""), "-", ""), 3, LEN(M20)-2) &amp; ""</f>
        <v>#VALUE!</v>
      </c>
    </row>
    <row r="21" customFormat="false" ht="13.8" hidden="false" customHeight="false" outlineLevel="0" collapsed="false">
      <c r="F21" s="0" t="e">
        <f aca="false">IF(#REF!="",LEFT(K21, FIND("@", K21) - 1), #REF!)</f>
        <v>#REF!</v>
      </c>
      <c r="G21" s="14"/>
      <c r="I21" s="14" t="n">
        <f aca="false">IF(ISBLANK(H21),$B$9,H21)</f>
        <v>32</v>
      </c>
      <c r="N21" s="15" t="e">
        <f aca="false">="91-" &amp; MID(SUBSTITUTE(SUBSTITUTE(M21, " ", ""), "-", ""), 3, LEN(M21)-2) &amp; ""</f>
        <v>#VALUE!</v>
      </c>
      <c r="O21" s="17" t="n">
        <f aca="false">IF(O16=" ", ("Adrress not Available"), O17)</f>
        <v>0</v>
      </c>
    </row>
    <row r="22" customFormat="false" ht="13.8" hidden="false" customHeight="false" outlineLevel="0" collapsed="false">
      <c r="F22" s="0" t="e">
        <f aca="false">IF(#REF!="",LEFT(K22, FIND("@", K22) - 1), #REF!)</f>
        <v>#REF!</v>
      </c>
      <c r="G22" s="14"/>
      <c r="I22" s="14" t="n">
        <f aca="false">IF(ISBLANK(H22),$B$9,H22)</f>
        <v>32</v>
      </c>
      <c r="K22" s="0" t="s">
        <v>65</v>
      </c>
      <c r="N22" s="15" t="e">
        <f aca="false">="91-" &amp; MID(SUBSTITUTE(SUBSTITUTE(M22, " ", ""), "-", ""), 3, LEN(M22)-2) &amp; ""</f>
        <v>#VALUE!</v>
      </c>
    </row>
    <row r="23" customFormat="false" ht="13.8" hidden="false" customHeight="false" outlineLevel="0" collapsed="false">
      <c r="F23" s="0" t="e">
        <f aca="false">IF(#REF!="",LEFT(K23, FIND("@", K23) - 1), #REF!)</f>
        <v>#REF!</v>
      </c>
      <c r="G23" s="14"/>
      <c r="I23" s="14" t="n">
        <f aca="false">IF(ISBLANK(H23),$B$9,H23)</f>
        <v>32</v>
      </c>
      <c r="N23" s="15" t="e">
        <f aca="false">="91-" &amp; MID(SUBSTITUTE(SUBSTITUTE(M23, " ", ""), "-", ""), 3, LEN(M23)-2) &amp; ""</f>
        <v>#VALUE!</v>
      </c>
      <c r="O23" s="17" t="n">
        <f aca="false">IF(O18=" ", ("Adrress not Available"), O19)</f>
        <v>0</v>
      </c>
    </row>
    <row r="24" customFormat="false" ht="13.8" hidden="false" customHeight="false" outlineLevel="0" collapsed="false">
      <c r="F24" s="0" t="e">
        <f aca="false">IF(#REF!="",LEFT(K24, FIND("@", K24) - 1), #REF!)</f>
        <v>#REF!</v>
      </c>
      <c r="G24" s="14"/>
      <c r="I24" s="14" t="n">
        <f aca="false">IF(ISBLANK(H24),$B$9,H24)</f>
        <v>32</v>
      </c>
      <c r="K24" s="0" t="s">
        <v>37</v>
      </c>
      <c r="N24" s="15" t="e">
        <f aca="false">="91-" &amp; MID(SUBSTITUTE(SUBSTITUTE(M24, " ", ""), "-", ""), 3, LEN(M24)-2) &amp; ""</f>
        <v>#VALUE!</v>
      </c>
    </row>
    <row r="25" customFormat="false" ht="13.8" hidden="false" customHeight="false" outlineLevel="0" collapsed="false">
      <c r="F25" s="0" t="e">
        <f aca="false">IF(#REF!="",LEFT(K25, FIND("@", K25) - 1), #REF!)</f>
        <v>#REF!</v>
      </c>
      <c r="G25" s="14"/>
      <c r="I25" s="14" t="n">
        <f aca="false">IF(ISBLANK(H25),$B$9,H25)</f>
        <v>32</v>
      </c>
      <c r="N25" s="15" t="e">
        <f aca="false">="91-" &amp; MID(SUBSTITUTE(SUBSTITUTE(M25, " ", ""), "-", ""), 3, LEN(M25)-2) &amp; ""</f>
        <v>#VALUE!</v>
      </c>
    </row>
    <row r="26" customFormat="false" ht="13.8" hidden="false" customHeight="false" outlineLevel="0" collapsed="false">
      <c r="F26" s="0" t="e">
        <f aca="false">IF(#REF!="",LEFT(K26, FIND("@", K26) - 1), #REF!)</f>
        <v>#REF!</v>
      </c>
      <c r="G26" s="14"/>
      <c r="I26" s="14" t="n">
        <f aca="false">IF(ISBLANK(H26),$B$9,H26)</f>
        <v>32</v>
      </c>
      <c r="N26" s="15" t="e">
        <f aca="false">="91-" &amp; MID(SUBSTITUTE(SUBSTITUTE(M26, " ", ""), "-", ""), 3, LEN(M26)-2) &amp; ""</f>
        <v>#VALUE!</v>
      </c>
      <c r="O26" s="17" t="n">
        <f aca="false">IF(O21=" ", ("Adrress not Available"), O22)</f>
        <v>0</v>
      </c>
    </row>
    <row r="27" customFormat="false" ht="13.8" hidden="false" customHeight="false" outlineLevel="0" collapsed="false">
      <c r="F27" s="0" t="e">
        <f aca="false">IF(#REF!="",LEFT(K27, FIND("@", K27) - 1), #REF!)</f>
        <v>#REF!</v>
      </c>
      <c r="G27" s="14"/>
      <c r="I27" s="14" t="n">
        <f aca="false">IF(ISBLANK(H27),$B$9,H27)</f>
        <v>32</v>
      </c>
      <c r="K27" s="0" t="s">
        <v>65</v>
      </c>
      <c r="N27" s="15" t="e">
        <f aca="false">="91-" &amp; MID(SUBSTITUTE(SUBSTITUTE(M27, " ", ""), "-", ""), 3, LEN(M27)-2) &amp; ""</f>
        <v>#VALUE!</v>
      </c>
    </row>
    <row r="28" customFormat="false" ht="13.8" hidden="false" customHeight="false" outlineLevel="0" collapsed="false">
      <c r="F28" s="0" t="e">
        <f aca="false">IF(#REF!="",LEFT(K28, FIND("@", K28) - 1), #REF!)</f>
        <v>#REF!</v>
      </c>
      <c r="G28" s="14"/>
      <c r="I28" s="14" t="n">
        <f aca="false">IF(ISBLANK(H28),$B$9,H28)</f>
        <v>32</v>
      </c>
      <c r="N28" s="15" t="e">
        <f aca="false">="91-" &amp; MID(SUBSTITUTE(SUBSTITUTE(M28, " ", ""), "-", ""), 3, LEN(M28)-2) &amp; ""</f>
        <v>#VALUE!</v>
      </c>
    </row>
    <row r="29" customFormat="false" ht="13.8" hidden="false" customHeight="false" outlineLevel="0" collapsed="false">
      <c r="F29" s="0" t="e">
        <f aca="false">IF(#REF!="",LEFT(K29, FIND("@", K29) - 1), #REF!)</f>
        <v>#REF!</v>
      </c>
      <c r="G29" s="14"/>
      <c r="I29" s="14" t="n">
        <f aca="false">IF(ISBLANK(H29),$B$9,H29)</f>
        <v>32</v>
      </c>
      <c r="N29" s="15" t="e">
        <f aca="false">="91-" &amp; MID(SUBSTITUTE(SUBSTITUTE(M29, " ", ""), "-", ""), 3, LEN(M29)-2) &amp; ""</f>
        <v>#VALUE!</v>
      </c>
      <c r="O29" s="17" t="n">
        <f aca="false">IF(O24=" ", ("Adrress not Available"), O25)</f>
        <v>0</v>
      </c>
    </row>
    <row r="30" customFormat="false" ht="13.8" hidden="false" customHeight="false" outlineLevel="0" collapsed="false">
      <c r="F30" s="0" t="e">
        <f aca="false">IF(#REF!="",LEFT(K30, FIND("@", K30) - 1), #REF!)</f>
        <v>#REF!</v>
      </c>
      <c r="G30" s="14"/>
      <c r="I30" s="14" t="n">
        <f aca="false">IF(ISBLANK(H30),$B$9,H30)</f>
        <v>32</v>
      </c>
      <c r="N30" s="15" t="e">
        <f aca="false">="91-" &amp; MID(SUBSTITUTE(SUBSTITUTE(M30, " ", ""), "-", ""), 3, LEN(M30)-2) &amp; ""</f>
        <v>#VALUE!</v>
      </c>
    </row>
    <row r="31" customFormat="false" ht="13.8" hidden="false" customHeight="false" outlineLevel="0" collapsed="false">
      <c r="F31" s="0" t="e">
        <f aca="false">IF(#REF!="",LEFT(K31, FIND("@", K31) - 1), #REF!)</f>
        <v>#REF!</v>
      </c>
      <c r="G31" s="14"/>
      <c r="I31" s="14" t="n">
        <f aca="false">IF(ISBLANK(H31),$B$9,H31)</f>
        <v>32</v>
      </c>
      <c r="K31" s="0" t="s">
        <v>65</v>
      </c>
      <c r="N31" s="15" t="e">
        <f aca="false">="91-" &amp; MID(SUBSTITUTE(SUBSTITUTE(M31, " ", ""), "-", ""), 3, LEN(M31)-2) &amp; ""</f>
        <v>#VALUE!</v>
      </c>
    </row>
    <row r="32" customFormat="false" ht="13.8" hidden="false" customHeight="false" outlineLevel="0" collapsed="false">
      <c r="F32" s="0" t="e">
        <f aca="false">IF(#REF!="",LEFT(K32, FIND("@", K32) - 1), #REF!)</f>
        <v>#REF!</v>
      </c>
      <c r="G32" s="14"/>
      <c r="I32" s="14" t="n">
        <f aca="false">IF(ISBLANK(H32),$B$9,H32)</f>
        <v>32</v>
      </c>
      <c r="K32" s="0" t="s">
        <v>25</v>
      </c>
      <c r="N32" s="15" t="e">
        <f aca="false">="91-" &amp; MID(SUBSTITUTE(SUBSTITUTE(M32, " ", ""), "-", ""), 3, LEN(M32)-2) &amp; ""</f>
        <v>#VALUE!</v>
      </c>
    </row>
    <row r="33" customFormat="false" ht="13.8" hidden="false" customHeight="false" outlineLevel="0" collapsed="false">
      <c r="F33" s="0" t="e">
        <f aca="false">IF(#REF!="",LEFT(K33, FIND("@", K33) - 1), #REF!)</f>
        <v>#REF!</v>
      </c>
      <c r="G33" s="14"/>
      <c r="I33" s="14" t="n">
        <f aca="false">IF(ISBLANK(H33),$B$9,H33)</f>
        <v>32</v>
      </c>
      <c r="N33" s="15" t="e">
        <f aca="false">="91-" &amp; MID(SUBSTITUTE(SUBSTITUTE(M33, " ", ""), "-", ""), 3, LEN(M33)-2) &amp; ""</f>
        <v>#VALUE!</v>
      </c>
    </row>
    <row r="34" customFormat="false" ht="13.8" hidden="false" customHeight="false" outlineLevel="0" collapsed="false">
      <c r="F34" s="0" t="e">
        <f aca="false">IF(#REF!="",LEFT(K34, FIND("@", K34) - 1), #REF!)</f>
        <v>#REF!</v>
      </c>
      <c r="G34" s="14"/>
      <c r="I34" s="14" t="n">
        <f aca="false">IF(ISBLANK(H34),$B$9,H34)</f>
        <v>32</v>
      </c>
      <c r="N34" s="15" t="e">
        <f aca="false">="91-" &amp; MID(SUBSTITUTE(SUBSTITUTE(M34, " ", ""), "-", ""), 3, LEN(M34)-2) &amp; ""</f>
        <v>#VALUE!</v>
      </c>
    </row>
    <row r="35" customFormat="false" ht="13.8" hidden="false" customHeight="false" outlineLevel="0" collapsed="false">
      <c r="F35" s="0" t="e">
        <f aca="false">IF(#REF!="",LEFT(K35, FIND("@", K35) - 1), #REF!)</f>
        <v>#REF!</v>
      </c>
      <c r="G35" s="14"/>
      <c r="I35" s="14" t="n">
        <f aca="false">IF(ISBLANK(H35),$B$9,H35)</f>
        <v>32</v>
      </c>
      <c r="N35" s="15" t="e">
        <f aca="false">="91-" &amp; MID(SUBSTITUTE(SUBSTITUTE(M35, " ", ""), "-", ""), 3, LEN(M35)-2) &amp; ""</f>
        <v>#VALUE!</v>
      </c>
    </row>
    <row r="36" customFormat="false" ht="13.8" hidden="false" customHeight="false" outlineLevel="0" collapsed="false">
      <c r="F36" s="0" t="e">
        <f aca="false">IF(#REF!="",LEFT(K36, FIND("@", K36) - 1), #REF!)</f>
        <v>#REF!</v>
      </c>
      <c r="G36" s="14"/>
      <c r="I36" s="14" t="n">
        <f aca="false">IF(ISBLANK(H36),$B$9,H36)</f>
        <v>32</v>
      </c>
      <c r="J36" s="0" t="s">
        <v>65</v>
      </c>
      <c r="N36" s="15" t="e">
        <f aca="false">="91-" &amp; MID(SUBSTITUTE(SUBSTITUTE(M36, " ", ""), "-", ""), 3, LEN(M36)-2) &amp; ""</f>
        <v>#VALUE!</v>
      </c>
      <c r="O36" s="17" t="n">
        <f aca="false">IF(O31=" ", ("Adrress not Available"), O32)</f>
        <v>0</v>
      </c>
    </row>
    <row r="37" customFormat="false" ht="13.8" hidden="false" customHeight="false" outlineLevel="0" collapsed="false">
      <c r="F37" s="0" t="e">
        <f aca="false">IF(#REF!="",LEFT(K37, FIND("@", K37) - 1), #REF!)</f>
        <v>#REF!</v>
      </c>
      <c r="G37" s="14"/>
      <c r="I37" s="14" t="n">
        <f aca="false">IF(ISBLANK(H37),$B$9,H37)</f>
        <v>32</v>
      </c>
      <c r="J37" s="0" t="s">
        <v>25</v>
      </c>
      <c r="N37" s="15" t="e">
        <f aca="false">="91-" &amp; MID(SUBSTITUTE(SUBSTITUTE(M37, " ", ""), "-", ""), 3, LEN(M37)-2) &amp; ""</f>
        <v>#VALUE!</v>
      </c>
    </row>
    <row r="38" customFormat="false" ht="13.8" hidden="false" customHeight="false" outlineLevel="0" collapsed="false">
      <c r="F38" s="0" t="e">
        <f aca="false">IF(#REF!="",LEFT(K38, FIND("@", K38) - 1), #REF!)</f>
        <v>#REF!</v>
      </c>
      <c r="G38" s="14"/>
      <c r="I38" s="14" t="n">
        <f aca="false">IF(ISBLANK(H38),$B$9,H38)</f>
        <v>32</v>
      </c>
      <c r="N38" s="15" t="e">
        <f aca="false">="91-" &amp; MID(SUBSTITUTE(SUBSTITUTE(M38, " ", ""), "-", ""), 3, LEN(M38)-2) &amp; ""</f>
        <v>#VALUE!</v>
      </c>
    </row>
    <row r="39" customFormat="false" ht="13.8" hidden="false" customHeight="false" outlineLevel="0" collapsed="false">
      <c r="F39" s="0" t="e">
        <f aca="false">IF(#REF!="",LEFT(K39, FIND("@", K39) - 1), #REF!)</f>
        <v>#REF!</v>
      </c>
      <c r="G39" s="14"/>
      <c r="I39" s="14" t="n">
        <f aca="false">IF(ISBLANK(H39),$B$9,H39)</f>
        <v>32</v>
      </c>
      <c r="N39" s="15" t="e">
        <f aca="false">="91-" &amp; MID(SUBSTITUTE(SUBSTITUTE(M39, " ", ""), "-", ""), 3, LEN(M39)-2) &amp; ""</f>
        <v>#VALUE!</v>
      </c>
    </row>
    <row r="40" customFormat="false" ht="13.8" hidden="false" customHeight="false" outlineLevel="0" collapsed="false">
      <c r="F40" s="0" t="e">
        <f aca="false">IF(#REF!="",LEFT(K40, FIND("@", K40) - 1), #REF!)</f>
        <v>#REF!</v>
      </c>
      <c r="G40" s="14"/>
      <c r="I40" s="14" t="n">
        <f aca="false">IF(ISBLANK(H40),$B$9,H40)</f>
        <v>32</v>
      </c>
      <c r="N40" s="15" t="e">
        <f aca="false">="91-" &amp; MID(SUBSTITUTE(SUBSTITUTE(M40, " ", ""), "-", ""), 3, LEN(M40)-2) &amp; ""</f>
        <v>#VALUE!</v>
      </c>
    </row>
    <row r="41" customFormat="false" ht="13.8" hidden="false" customHeight="false" outlineLevel="0" collapsed="false">
      <c r="F41" s="0" t="e">
        <f aca="false">IF(#REF!="",LEFT(K41, FIND("@", K41) - 1), #REF!)</f>
        <v>#REF!</v>
      </c>
      <c r="G41" s="14"/>
      <c r="I41" s="14" t="n">
        <f aca="false">IF(ISBLANK(H41),$B$9,H41)</f>
        <v>32</v>
      </c>
      <c r="N41" s="15" t="e">
        <f aca="false">="91-" &amp; MID(SUBSTITUTE(SUBSTITUTE(M41, " ", ""), "-", ""), 3, LEN(M41)-2) &amp; ""</f>
        <v>#VALUE!</v>
      </c>
    </row>
    <row r="42" customFormat="false" ht="13.8" hidden="false" customHeight="false" outlineLevel="0" collapsed="false">
      <c r="F42" s="0" t="e">
        <f aca="false">IF(#REF!="",LEFT(K42, FIND("@", K42) - 1), #REF!)</f>
        <v>#REF!</v>
      </c>
      <c r="G42" s="14"/>
      <c r="I42" s="14" t="n">
        <f aca="false">IF(ISBLANK(H42),$B$9,H42)</f>
        <v>32</v>
      </c>
      <c r="N42" s="15" t="e">
        <f aca="false">="91-" &amp; MID(SUBSTITUTE(SUBSTITUTE(M42, " ", ""), "-", ""), 3, LEN(M42)-2) &amp; ""</f>
        <v>#VALUE!</v>
      </c>
    </row>
    <row r="43" customFormat="false" ht="13.8" hidden="false" customHeight="false" outlineLevel="0" collapsed="false">
      <c r="F43" s="0" t="e">
        <f aca="false">IF(#REF!="",LEFT(K43, FIND("@", K43) - 1), #REF!)</f>
        <v>#REF!</v>
      </c>
      <c r="G43" s="14"/>
      <c r="I43" s="14" t="n">
        <f aca="false">IF(ISBLANK(H43),$B$9,H43)</f>
        <v>32</v>
      </c>
      <c r="K43" s="0" t="s">
        <v>59</v>
      </c>
      <c r="N43" s="15" t="e">
        <f aca="false">="91-" &amp; MID(SUBSTITUTE(SUBSTITUTE(M43, " ", ""), "-", ""), 3, LEN(M43)-2) &amp; ""</f>
        <v>#VALUE!</v>
      </c>
    </row>
    <row r="44" customFormat="false" ht="13.8" hidden="false" customHeight="false" outlineLevel="0" collapsed="false">
      <c r="F44" s="0" t="e">
        <f aca="false">IF(#REF!="",LEFT(K44, FIND("@", K44) - 1), #REF!)</f>
        <v>#REF!</v>
      </c>
      <c r="G44" s="14"/>
      <c r="I44" s="14" t="n">
        <f aca="false">IF(ISBLANK(H44),$B$9,H44)</f>
        <v>32</v>
      </c>
      <c r="K44" s="0" t="s">
        <v>59</v>
      </c>
      <c r="N44" s="15" t="e">
        <f aca="false">="91-" &amp; MID(SUBSTITUTE(SUBSTITUTE(M44, " ", ""), "-", ""), 3, LEN(M44)-2) &amp; ""</f>
        <v>#VALUE!</v>
      </c>
    </row>
    <row r="45" customFormat="false" ht="13.8" hidden="false" customHeight="false" outlineLevel="0" collapsed="false">
      <c r="F45" s="0" t="e">
        <f aca="false">IF(#REF!="",LEFT(K45, FIND("@", K45) - 1), #REF!)</f>
        <v>#REF!</v>
      </c>
      <c r="G45" s="14"/>
      <c r="I45" s="14" t="n">
        <f aca="false">IF(ISBLANK(H45),$B$9,H45)</f>
        <v>32</v>
      </c>
      <c r="K45" s="0" t="s">
        <v>127</v>
      </c>
      <c r="N45" s="15" t="e">
        <f aca="false">="91-" &amp; MID(SUBSTITUTE(SUBSTITUTE(M45, " ", ""), "-", ""), 3, LEN(M45)-2) &amp; ""</f>
        <v>#VALUE!</v>
      </c>
    </row>
    <row r="46" customFormat="false" ht="13.8" hidden="false" customHeight="false" outlineLevel="0" collapsed="false">
      <c r="F46" s="0" t="e">
        <f aca="false">IF(#REF!="",LEFT(K46, FIND("@", K46) - 1), #REF!)</f>
        <v>#REF!</v>
      </c>
      <c r="G46" s="14"/>
      <c r="I46" s="14" t="n">
        <f aca="false">IF(ISBLANK(H46),$B$9,H46)</f>
        <v>32</v>
      </c>
      <c r="K46" s="0" t="s">
        <v>37</v>
      </c>
      <c r="N46" s="15" t="e">
        <f aca="false">="91-" &amp; MID(SUBSTITUTE(SUBSTITUTE(M46, " ", ""), "-", ""), 3, LEN(M46)-2) &amp; ""</f>
        <v>#VALUE!</v>
      </c>
    </row>
    <row r="47" customFormat="false" ht="13.8" hidden="false" customHeight="false" outlineLevel="0" collapsed="false">
      <c r="F47" s="0" t="e">
        <f aca="false">IF(#REF!="",LEFT(K47, FIND("@", K47) - 1), #REF!)</f>
        <v>#REF!</v>
      </c>
      <c r="G47" s="14"/>
      <c r="I47" s="14" t="n">
        <f aca="false">IF(ISBLANK(H47),$B$9,H47)</f>
        <v>32</v>
      </c>
      <c r="K47" s="0" t="s">
        <v>30</v>
      </c>
      <c r="N47" s="15" t="e">
        <f aca="false">="91-" &amp; MID(SUBSTITUTE(SUBSTITUTE(M47, " ", ""), "-", ""), 3, LEN(M47)-2) &amp; ""</f>
        <v>#VALUE!</v>
      </c>
    </row>
    <row r="48" customFormat="false" ht="13.8" hidden="false" customHeight="false" outlineLevel="0" collapsed="false">
      <c r="F48" s="0" t="e">
        <f aca="false">IF(#REF!="",LEFT(K48, FIND("@", K48) - 1), #REF!)</f>
        <v>#REF!</v>
      </c>
      <c r="G48" s="14"/>
      <c r="I48" s="14" t="n">
        <f aca="false">IF(ISBLANK(H48),$B$9,H48)</f>
        <v>32</v>
      </c>
      <c r="N48" s="15" t="e">
        <f aca="false">="91-" &amp; MID(SUBSTITUTE(SUBSTITUTE(M48, " ", ""), "-", ""), 3, LEN(M48)-2) &amp; ""</f>
        <v>#VALUE!</v>
      </c>
    </row>
    <row r="49" customFormat="false" ht="13.8" hidden="false" customHeight="false" outlineLevel="0" collapsed="false">
      <c r="F49" s="0" t="e">
        <f aca="false">IF(#REF!="",LEFT(K49, FIND("@", K49) - 1), #REF!)</f>
        <v>#REF!</v>
      </c>
      <c r="G49" s="14"/>
      <c r="I49" s="14" t="n">
        <f aca="false">IF(ISBLANK(H49),$B$9,H49)</f>
        <v>32</v>
      </c>
      <c r="K49" s="0" t="s">
        <v>65</v>
      </c>
      <c r="N49" s="15" t="e">
        <f aca="false">="91-" &amp; MID(SUBSTITUTE(SUBSTITUTE(M49, " ", ""), "-", ""), 3, LEN(M49)-2) &amp; ""</f>
        <v>#VALUE!</v>
      </c>
    </row>
    <row r="50" customFormat="false" ht="13.8" hidden="false" customHeight="false" outlineLevel="0" collapsed="false">
      <c r="F50" s="0" t="e">
        <f aca="false">IF(#REF!="",LEFT(K50, FIND("@", K50) - 1), #REF!)</f>
        <v>#REF!</v>
      </c>
      <c r="G50" s="14"/>
      <c r="I50" s="14" t="n">
        <f aca="false">IF(ISBLANK(H50),$B$9,H50)</f>
        <v>32</v>
      </c>
      <c r="N50" s="15" t="e">
        <f aca="false">="91-" &amp; MID(SUBSTITUTE(SUBSTITUTE(M50, " ", ""), "-", ""), 3, LEN(M50)-2) &amp; ""</f>
        <v>#VALUE!</v>
      </c>
      <c r="O50" s="17" t="n">
        <f aca="false">IF(O45=" ", ("Adrress not Available"), O46)</f>
        <v>0</v>
      </c>
    </row>
    <row r="51" customFormat="false" ht="13.8" hidden="false" customHeight="false" outlineLevel="0" collapsed="false">
      <c r="F51" s="0" t="e">
        <f aca="false">IF(#REF!="",LEFT(K51, FIND("@", K51) - 1), #REF!)</f>
        <v>#REF!</v>
      </c>
      <c r="G51" s="14"/>
      <c r="I51" s="14" t="n">
        <f aca="false">IF(ISBLANK(H51),$B$9,H51)</f>
        <v>32</v>
      </c>
      <c r="K51" s="0" t="s">
        <v>59</v>
      </c>
      <c r="N51" s="15" t="e">
        <f aca="false">="91-" &amp; MID(SUBSTITUTE(SUBSTITUTE(M51, " ", ""), "-", ""), 3, LEN(M51)-2) &amp; ""</f>
        <v>#VALUE!</v>
      </c>
    </row>
    <row r="52" customFormat="false" ht="13.8" hidden="false" customHeight="false" outlineLevel="0" collapsed="false">
      <c r="F52" s="0" t="e">
        <f aca="false">IF(#REF!="",LEFT(K52, FIND("@", K52) - 1), #REF!)</f>
        <v>#REF!</v>
      </c>
      <c r="G52" s="14"/>
      <c r="I52" s="14" t="n">
        <f aca="false">IF(ISBLANK(H52),$B$9,H52)</f>
        <v>32</v>
      </c>
      <c r="K52" s="0" t="s">
        <v>59</v>
      </c>
      <c r="N52" s="15" t="e">
        <f aca="false">="91-" &amp; MID(SUBSTITUTE(SUBSTITUTE(M52, " ", ""), "-", ""), 3, LEN(M52)-2) &amp; ""</f>
        <v>#VALUE!</v>
      </c>
    </row>
    <row r="53" customFormat="false" ht="13.8" hidden="false" customHeight="false" outlineLevel="0" collapsed="false">
      <c r="F53" s="0" t="e">
        <f aca="false">IF(#REF!="",LEFT(K53, FIND("@", K53) - 1), #REF!)</f>
        <v>#REF!</v>
      </c>
      <c r="G53" s="14"/>
      <c r="I53" s="14" t="n">
        <f aca="false">IF(ISBLANK(H53),$B$9,H53)</f>
        <v>32</v>
      </c>
      <c r="K53" s="0" t="s">
        <v>25</v>
      </c>
      <c r="N53" s="15" t="e">
        <f aca="false">="91-" &amp; MID(SUBSTITUTE(SUBSTITUTE(M53, " ", ""), "-", ""), 3, LEN(M53)-2) &amp; ""</f>
        <v>#VALUE!</v>
      </c>
    </row>
    <row r="54" customFormat="false" ht="13.8" hidden="false" customHeight="false" outlineLevel="0" collapsed="false">
      <c r="F54" s="0" t="e">
        <f aca="false">IF(#REF!="",LEFT(K54, FIND("@", K54) - 1), #REF!)</f>
        <v>#REF!</v>
      </c>
      <c r="G54" s="14"/>
      <c r="I54" s="14" t="n">
        <f aca="false">IF(ISBLANK(H54),$B$9,H54)</f>
        <v>32</v>
      </c>
      <c r="N54" s="15" t="e">
        <f aca="false">="91-" &amp; MID(SUBSTITUTE(SUBSTITUTE(M54, " ", ""), "-", ""), 3, LEN(M54)-2) &amp; ""</f>
        <v>#VALUE!</v>
      </c>
    </row>
    <row r="55" customFormat="false" ht="13.8" hidden="false" customHeight="false" outlineLevel="0" collapsed="false">
      <c r="F55" s="0" t="e">
        <f aca="false">IF(#REF!="",LEFT(K55, FIND("@", K55) - 1), #REF!)</f>
        <v>#REF!</v>
      </c>
      <c r="G55" s="14"/>
      <c r="I55" s="14" t="n">
        <f aca="false">IF(ISBLANK(H55),$B$9,H55)</f>
        <v>32</v>
      </c>
      <c r="K55" s="0" t="s">
        <v>30</v>
      </c>
      <c r="N55" s="15" t="e">
        <f aca="false">="91-" &amp; MID(SUBSTITUTE(SUBSTITUTE(M55, " ", ""), "-", ""), 3, LEN(M55)-2) &amp; ""</f>
        <v>#VALUE!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LibreOffice/24.2.0.3$Windows_X86_64 LibreOffice_project/da48488a73ddd66ea24cf16bbc4f7b9c08e9bea1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2023-04-26T07:21:03Z</dcterms:created>
  <dc:creator>Anit Chaudhary</dc:creator>
  <dc:description/>
  <dc:language>en-IN</dc:language>
  <cp:lastModifiedBy/>
  <dcterms:modified xsi:type="dcterms:W3CDTF">2024-02-20T13:06:31Z</dcterms:modified>
  <cp:revision>1</cp:revision>
  <dc:subject/>
  <dc:title/>
</cp:coreProperties>
</file>